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ngNgheJava\hotel-booking\"/>
    </mc:Choice>
  </mc:AlternateContent>
  <xr:revisionPtr revIDLastSave="0" documentId="13_ncr:1_{2DC6C783-2F92-4294-8E6B-8E033B1369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ổng hợp" sheetId="1" r:id="rId1"/>
    <sheet name="Unit Test" sheetId="2" r:id="rId2"/>
    <sheet name="Integration Test" sheetId="3" r:id="rId3"/>
    <sheet name="System Test" sheetId="4" r:id="rId4"/>
    <sheet name="Danh sách lỗi" sheetId="5" r:id="rId5"/>
  </sheets>
  <definedNames>
    <definedName name="_xlnm._FilterDatabase" localSheetId="2" hidden="1">'Integration Test'!$A$4:$L$344</definedName>
    <definedName name="_xlnm._FilterDatabase" localSheetId="3" hidden="1">'System Test'!$A$4:$L$154</definedName>
    <definedName name="_xlnm._FilterDatabase" localSheetId="1" hidden="1">'Unit Test'!$A$4:$L$798</definedName>
    <definedName name="_xlnm.Print_Titles" localSheetId="2">'Integration Test'!$4:$4</definedName>
    <definedName name="_xlnm.Print_Titles" localSheetId="3">'System Test'!$4:$4</definedName>
    <definedName name="_xlnm.Print_Titles" localSheetId="1">'Unit Test'!$4:$4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C26" i="1"/>
  <c r="H26" i="1" s="1"/>
  <c r="G25" i="1"/>
  <c r="D25" i="1"/>
  <c r="C25" i="1"/>
  <c r="G19" i="1"/>
  <c r="D19" i="1"/>
  <c r="C19" i="1"/>
  <c r="G18" i="1"/>
  <c r="D18" i="1"/>
  <c r="C18" i="1"/>
  <c r="G17" i="1"/>
  <c r="D17" i="1"/>
  <c r="C17" i="1"/>
  <c r="H17" i="1" s="1"/>
  <c r="G16" i="1"/>
  <c r="G20" i="1" s="1"/>
  <c r="D16" i="1"/>
  <c r="D20" i="1" s="1"/>
  <c r="C16" i="1"/>
  <c r="G14" i="1"/>
  <c r="D14" i="1"/>
  <c r="C14" i="1"/>
  <c r="G13" i="1"/>
  <c r="D13" i="1"/>
  <c r="C13" i="1"/>
  <c r="G12" i="1"/>
  <c r="G15" i="1" s="1"/>
  <c r="D12" i="1"/>
  <c r="D15" i="1" s="1"/>
  <c r="C12" i="1"/>
  <c r="C15" i="1" s="1"/>
  <c r="G10" i="1"/>
  <c r="D10" i="1"/>
  <c r="C10" i="1"/>
  <c r="G9" i="1"/>
  <c r="D9" i="1"/>
  <c r="C9" i="1"/>
  <c r="G8" i="1"/>
  <c r="D8" i="1"/>
  <c r="C8" i="1"/>
  <c r="G7" i="1"/>
  <c r="D7" i="1"/>
  <c r="C7" i="1"/>
  <c r="H7" i="1" s="1"/>
  <c r="G6" i="1"/>
  <c r="D6" i="1"/>
  <c r="C6" i="1"/>
  <c r="G5" i="1"/>
  <c r="D5" i="1"/>
  <c r="C5" i="1"/>
  <c r="H8" i="1" l="1"/>
  <c r="H13" i="1"/>
  <c r="H18" i="1"/>
  <c r="H5" i="1"/>
  <c r="H9" i="1"/>
  <c r="H14" i="1"/>
  <c r="H19" i="1"/>
  <c r="D11" i="1"/>
  <c r="D21" i="1" s="1"/>
  <c r="G11" i="1"/>
  <c r="G21" i="1" s="1"/>
  <c r="H6" i="1"/>
  <c r="H10" i="1"/>
  <c r="C20" i="1"/>
  <c r="H20" i="1" s="1"/>
  <c r="H25" i="1"/>
  <c r="H15" i="1"/>
  <c r="F15" i="1"/>
  <c r="E25" i="1"/>
  <c r="E6" i="1"/>
  <c r="E8" i="1"/>
  <c r="E10" i="1"/>
  <c r="E12" i="1"/>
  <c r="E14" i="1"/>
  <c r="E16" i="1"/>
  <c r="E20" i="1" s="1"/>
  <c r="E18" i="1"/>
  <c r="F6" i="1"/>
  <c r="F8" i="1"/>
  <c r="F10" i="1"/>
  <c r="F12" i="1"/>
  <c r="F14" i="1"/>
  <c r="F16" i="1"/>
  <c r="F18" i="1"/>
  <c r="F25" i="1"/>
  <c r="H12" i="1"/>
  <c r="H16" i="1"/>
  <c r="D26" i="1"/>
  <c r="E26" i="1" s="1"/>
  <c r="E5" i="1"/>
  <c r="E7" i="1"/>
  <c r="E9" i="1"/>
  <c r="E17" i="1"/>
  <c r="E19" i="1"/>
  <c r="C11" i="1"/>
  <c r="E13" i="1"/>
  <c r="F5" i="1"/>
  <c r="F7" i="1"/>
  <c r="F9" i="1"/>
  <c r="F13" i="1"/>
  <c r="F17" i="1"/>
  <c r="F19" i="1"/>
  <c r="F20" i="1" l="1"/>
  <c r="E15" i="1"/>
  <c r="F26" i="1"/>
  <c r="H11" i="1"/>
  <c r="F11" i="1"/>
  <c r="C21" i="1"/>
  <c r="E11" i="1"/>
  <c r="H21" i="1" l="1"/>
  <c r="F21" i="1"/>
  <c r="E21" i="1"/>
</calcChain>
</file>

<file path=xl/sharedStrings.xml><?xml version="1.0" encoding="utf-8"?>
<sst xmlns="http://schemas.openxmlformats.org/spreadsheetml/2006/main" count="15563" uniqueCount="4930">
  <si>
    <t>TỔNG HỢP KẾT QUẢ KIỂM THỬ – HỆ THỐNG QUẢN LÝ ĐẶT PHÒNG KHÁCH SẠN</t>
  </si>
  <si>
    <t>Đề tài CNJ46 – Nhóm 9 – Sinh viên: Nguyễn Quốc Hoàn (20230221). Số liệu bảng dưới được tính bằng công thức từ các sheet Unit Test, Integration Test, System Test.</t>
  </si>
  <si>
    <t>Cấp kiểm thử</t>
  </si>
  <si>
    <t>Module</t>
  </si>
  <si>
    <t>Số test case</t>
  </si>
  <si>
    <t>Pass lần đầu</t>
  </si>
  <si>
    <t>Fail lần đầu</t>
  </si>
  <si>
    <t>Tỷ lệ Pass lần đầu</t>
  </si>
  <si>
    <t>Pass sau khắc phục</t>
  </si>
  <si>
    <t>Tỷ lệ Pass sau khắc phục</t>
  </si>
  <si>
    <t>Kiểm thử đơn vị (Unit Test)</t>
  </si>
  <si>
    <t>Đăng ký &amp; Đăng nhập (Xác thực, phân quyền)</t>
  </si>
  <si>
    <t>Đặt phòng — Logic nghiệp vụ (BookingService)</t>
  </si>
  <si>
    <t>Phòng, Loại phòng, Combo &amp; Mã giảm giá</t>
  </si>
  <si>
    <t>Tiện ích, bảo mật, khách hàng &amp; tài khoản</t>
  </si>
  <si>
    <t>Chatbot tư vấn (ChatbotService)</t>
  </si>
  <si>
    <t>Kiểm tra dữ liệu đầu vào (DTO Validation)</t>
  </si>
  <si>
    <t>Cộng Unit Test</t>
  </si>
  <si>
    <t>Kiểm thử tích hợp (Integration Test)</t>
  </si>
  <si>
    <t>Phân quyền truy cập, xác thực &amp; CSRF</t>
  </si>
  <si>
    <t>Khách hàng: tìm phòng, đặt phòng, quản lý đơn, chatbot</t>
  </si>
  <si>
    <t>Quản trị: vòng đời đơn, phòng, danh mục, khách hàng</t>
  </si>
  <si>
    <t>Cộng Integration Test</t>
  </si>
  <si>
    <t>Kiểm thử hệ thống (System Test)</t>
  </si>
  <si>
    <t>Giao diện, điều hướng &amp; xử lý lỗi</t>
  </si>
  <si>
    <t>Xác thực, đăng ký &amp; phân quyền (phiên đăng nhập thật)</t>
  </si>
  <si>
    <t>Chatbot tư vấn trên server thật</t>
  </si>
  <si>
    <t>Kịch bản đầu-cuối: đặt phòng → xác nhận → check-in → check-out</t>
  </si>
  <si>
    <t>Cộng System Test</t>
  </si>
  <si>
    <t>TỔNG CỘNG</t>
  </si>
  <si>
    <t>Tổng hợp theo đợt kiểm thử</t>
  </si>
  <si>
    <t>Đợt kiểm thử</t>
  </si>
  <si>
    <t>Nội dung</t>
  </si>
  <si>
    <t>Đợt 1 (02/10/2026)</t>
  </si>
  <si>
    <t>119 Unit, 40 Integration, 20 System (curl); khắc phục BUG-01 → BUG-04</t>
  </si>
  <si>
    <t>Đợt 2 (04/10/2026)</t>
  </si>
  <si>
    <t>Chạy tự động toàn bộ bộ test bằng mvn test (gồm chạy lại 159 TC JUnit đợt 1); khắc phục BUG-06, BUG-07, CFG-01</t>
  </si>
  <si>
    <t>Ghi chú:</t>
  </si>
  <si>
    <t>• Cấp kiểm thử: Unit Test kiểm thử từng lớp riêng lẻ (Mockito giả lập phụ thuộc); Integration Test chạy Controller + Service + Repository + Spring Security trên CSDL H2 qua MockMvc; System Test khởi động ứng dụng thật và gửi HTTP thật như trình duyệt.</t>
  </si>
  <si>
    <t>• Mỗi bộ dữ liệu của test tham số hóa (@ParameterizedTest) được tính là một test case.</t>
  </si>
  <si>
    <t>• Chạy lại toàn bộ: mở thư mục dự án, chạy lệnh "mvn test"; kết quả từng test case được ghi ra target/tc-results/results.tsv.</t>
  </si>
  <si>
    <t>• 20 test case System của đợt 1 kiểm thử thủ công bằng curl, kết quả giữ nguyên như đã ghi nhận ngày 02/10/2026.</t>
  </si>
  <si>
    <t>BỘ TEST CASE UNIT TEST – HỆ THỐNG QUẢN LÝ ĐẶT PHÒNG KHÁCH SẠN</t>
  </si>
  <si>
    <t>Phụ lục báo cáo BTL Công nghệ Java – Nhóm 9. Kết quả lấy từ lần chạy thật bộ test JUnit (mvn test). "Lần chạy đầu" là kết quả trước khi sửa lỗi của đợt tương ứng; "Sau khắc phục" là kết quả chạy lại toàn bộ sau khi sửa.</t>
  </si>
  <si>
    <t>Mã TC</t>
  </si>
  <si>
    <t>Tên test case</t>
  </si>
  <si>
    <t>Các bước thực hiện</t>
  </si>
  <si>
    <t>Dữ liệu đầu vào</t>
  </si>
  <si>
    <t>Kết quả mong muốn</t>
  </si>
  <si>
    <t>Lần chạy đầu</t>
  </si>
  <si>
    <t>Sau khắc phục</t>
  </si>
  <si>
    <t>Phương pháp / test tự động</t>
  </si>
  <si>
    <t>Người thực hiện</t>
  </si>
  <si>
    <t>Ngày kiểm thử</t>
  </si>
  <si>
    <t>UT-001</t>
  </si>
  <si>
    <t>Validate họ tên bỏ trống</t>
  </si>
  <si>
    <t>Gọi Validator.validate() trên RegisterRequest với fullName rỗng</t>
  </si>
  <si>
    <t>fullName=""</t>
  </si>
  <si>
    <t>Trả vi phạm ràng buộc @NotBlank trên field fullName</t>
  </si>
  <si>
    <t>Pass</t>
  </si>
  <si>
    <t>Đợt 1</t>
  </si>
  <si>
    <t>RegisterRequestValidationTest::blankFullName_isRejected</t>
  </si>
  <si>
    <t>Nguyễn Quốc Hoàn</t>
  </si>
  <si>
    <t>02/10/2026 – 04/10/2026</t>
  </si>
  <si>
    <t>UT-002</t>
  </si>
  <si>
    <t>Validate email đúng định dạng không có lỗi</t>
  </si>
  <si>
    <t>Gọi validate() với toàn bộ field hợp lệ</t>
  </si>
  <si>
    <t>fullName/email/phone/password/confirmPassword hợp lệ</t>
  </si>
  <si>
    <t>Không có vi phạm ràng buộc nào</t>
  </si>
  <si>
    <t>RegisterRequestValidationTest::validRequest_hasNoViolations</t>
  </si>
  <si>
    <t>UT-003</t>
  </si>
  <si>
    <t>Validate email sai định dạng</t>
  </si>
  <si>
    <t>Gọi validate() với email không đúng định dạng</t>
  </si>
  <si>
    <t>email="khong-hop-le"</t>
  </si>
  <si>
    <t>Trả vi phạm ràng buộc @Email trên field email</t>
  </si>
  <si>
    <t>RegisterRequestValidationTest::invalidEmailFormat_isRejected</t>
  </si>
  <si>
    <t>UT-004</t>
  </si>
  <si>
    <t>Validate số điện thoại sai định dạng</t>
  </si>
  <si>
    <t>Gọi validate() với phoneNumber chứa chữ cái</t>
  </si>
  <si>
    <t>phoneNumber="abc123"</t>
  </si>
  <si>
    <t>Trả vi phạm ràng buộc @Pattern trên field phoneNumber</t>
  </si>
  <si>
    <t>RegisterRequestValidationTest::invalidPhoneFormat_isRejected</t>
  </si>
  <si>
    <t>UT-005</t>
  </si>
  <si>
    <t>Validate số điện thoại không bắt đầu bằng 0</t>
  </si>
  <si>
    <t>Gọi validate() với phoneNumber bắt đầu bằng số khác 0</t>
  </si>
  <si>
    <t>phoneNumber="1901234567"</t>
  </si>
  <si>
    <t>Trả vi phạm ràng buộc @Pattern (yêu cầu bắt đầu bằng 0, đủ 10 số)</t>
  </si>
  <si>
    <t>RegisterRequestValidationTest::phoneNotStartingWithZero_isRejected</t>
  </si>
  <si>
    <t>UT-006</t>
  </si>
  <si>
    <t>Validate mật khẩu quá ngắn</t>
  </si>
  <si>
    <t>Gọi validate() với password dưới 6 ký tự</t>
  </si>
  <si>
    <t>password="123"</t>
  </si>
  <si>
    <t>Trả vi phạm ràng buộc @Size(min=6) trên field password</t>
  </si>
  <si>
    <t>RegisterRequestValidationTest::shortPassword_isRejected</t>
  </si>
  <si>
    <t>UT-007</t>
  </si>
  <si>
    <t>Validate xác nhận mật khẩu bỏ trống</t>
  </si>
  <si>
    <t>Gọi validate() với confirmPassword rỗng</t>
  </si>
  <si>
    <t>confirmPassword=""</t>
  </si>
  <si>
    <t>Trả vi phạm ràng buộc @NotBlank trên field confirmPassword</t>
  </si>
  <si>
    <t>RegisterRequestValidationTest::blankConfirmPassword_isRejected</t>
  </si>
  <si>
    <t>UT-008</t>
  </si>
  <si>
    <t>Đăng ký với email đã tồn tại bị từ chối</t>
  </si>
  <si>
    <t>Gọi UserService.registerCustomer() khi userRepository.existsByEmail=true (mock)</t>
  </si>
  <si>
    <t>email đã tồn tại trong DB (mock)</t>
  </si>
  <si>
    <t>Ném BusinessException "Email này đã được đăng ký..."; không gọi save()</t>
  </si>
  <si>
    <t>UserServiceTest::registerCustomer_duplicateEmail_throws</t>
  </si>
  <si>
    <t>UT-009</t>
  </si>
  <si>
    <t>Đăng ký với mật khẩu xác nhận không khớp</t>
  </si>
  <si>
    <t>Gọi registerCustomer() khi password != confirmPassword</t>
  </si>
  <si>
    <t>password="Abc12345", confirmPassword="khac-mat-khau"</t>
  </si>
  <si>
    <t>Ném BusinessException "Mật khẩu xác nhận không khớp"; không gọi save()</t>
  </si>
  <si>
    <t>UserServiceTest::registerCustomer_passwordMismatch_throws</t>
  </si>
  <si>
    <t>UT-010</t>
  </si>
  <si>
    <t>Đăng ký thành công mã hoá mật khẩu &amp; gán role CUSTOMER</t>
  </si>
  <si>
    <t>Gọi registerCustomer() với dữ liệu hợp lệ, mock passwordEncoder.encode()</t>
  </si>
  <si>
    <t>dữ liệu hợp lệ</t>
  </si>
  <si>
    <t>user.password là chuỗi đã mã hoá (khác chuỗi gốc); user.role=CUSTOMER</t>
  </si>
  <si>
    <t>UserServiceTest::registerCustomer_success_encodesPasswordAndSetsCustomerRole</t>
  </si>
  <si>
    <t>UT-011</t>
  </si>
  <si>
    <t>CustomUserDetails trả đúng quyền CUSTOMER</t>
  </si>
  <si>
    <t>new CustomUserDetails(user role=CUSTOMER), gọi getAuthorities()</t>
  </si>
  <si>
    <t>role=CUSTOMER</t>
  </si>
  <si>
    <t>Danh sách quyền chứa ROLE_CUSTOMER</t>
  </si>
  <si>
    <t>CustomUserDetailsTest::getAuthorities_customerRole_returnsRoleCustomer</t>
  </si>
  <si>
    <t>UT-012</t>
  </si>
  <si>
    <t>CustomUserDetails trả đúng quyền ADMIN</t>
  </si>
  <si>
    <t>new CustomUserDetails(user role=ADMIN), gọi getAuthorities()</t>
  </si>
  <si>
    <t>role=ADMIN</t>
  </si>
  <si>
    <t>Danh sách quyền chứa ROLE_ADMIN</t>
  </si>
  <si>
    <t>CustomUserDetailsTest::getAuthorities_adminRole_returnsRoleAdmin</t>
  </si>
  <si>
    <t>UT-013</t>
  </si>
  <si>
    <t>CustomUserDetails.getUsername() trả về email</t>
  </si>
  <si>
    <t>Gọi getUsername()</t>
  </si>
  <si>
    <t>email="x@mail.com"</t>
  </si>
  <si>
    <t>Trả về "x@mail.com"</t>
  </si>
  <si>
    <t>CustomUserDetailsTest::getUsername_returnsEmail</t>
  </si>
  <si>
    <t>UT-014</t>
  </si>
  <si>
    <t>CustomUserDetails các cờ tài khoản đều true</t>
  </si>
  <si>
    <t>Gọi isAccountNonExpired/isAccountNonLocked/isCredentialsNonExpired/isEnabled</t>
  </si>
  <si>
    <t>user bất kỳ</t>
  </si>
  <si>
    <t>Cả 4 cờ đều trả về true (hệ thống chưa có khoá/hết hạn tài khoản)</t>
  </si>
  <si>
    <t>CustomUserDetailsTest::accountFlags_allTrue</t>
  </si>
  <si>
    <t>UT-015</t>
  </si>
  <si>
    <t>CustomUserDetailsService tìm thấy user trả về CustomUserDetails</t>
  </si>
  <si>
    <t>Gọi loadUserByUsername() khi userRepository.findByEmail có giá trị (mock)</t>
  </si>
  <si>
    <t>email="a@mail.com"</t>
  </si>
  <si>
    <t>Trả về instance CustomUserDetails đúng username</t>
  </si>
  <si>
    <t>CustomUserDetailsServiceTest::loadUserByUsername_found_returnsCustomUserDetails</t>
  </si>
  <si>
    <t>UT-016</t>
  </si>
  <si>
    <t>CustomUserDetailsService không tìm thấy user ném lỗi</t>
  </si>
  <si>
    <t>Gọi loadUserByUsername() khi findByEmail rỗng (mock)</t>
  </si>
  <si>
    <t>email="notfound@mail.com"</t>
  </si>
  <si>
    <t>Ném UsernameNotFoundException</t>
  </si>
  <si>
    <t>CustomUserDetailsServiceTest::loadUserByUsername_notFound_throws</t>
  </si>
  <si>
    <t>UT-017</t>
  </si>
  <si>
    <t>AdminPortalSuccessHandler cho ADMIN vào dashboard</t>
  </si>
  <si>
    <t>Gọi onAuthenticationSuccess() với principal role=ADMIN (mock request/response)</t>
  </si>
  <si>
    <t>response.sendRedirect("/admin/dashboard") được gọi</t>
  </si>
  <si>
    <t>AdminPortalSuccessHandlerTest::onAuthenticationSuccess_adminRole_redirectsToDashboard</t>
  </si>
  <si>
    <t>UT-018</t>
  </si>
  <si>
    <t>AdminPortalSuccessHandler cho STAFF vào dashboard</t>
  </si>
  <si>
    <t>Gọi onAuthenticationSuccess() với principal role=STAFF</t>
  </si>
  <si>
    <t>role=STAFF</t>
  </si>
  <si>
    <t>AdminPortalSuccessHandlerTest::onAuthenticationSuccess_staffRole_redirectsToDashboard</t>
  </si>
  <si>
    <t>UT-019</t>
  </si>
  <si>
    <t>AdminPortalSuccessHandler chặn CUSTOMER, báo wrong_portal</t>
  </si>
  <si>
    <t>Gọi onAuthenticationSuccess() với principal role=CUSTOMER</t>
  </si>
  <si>
    <t>redirect "/admin?error=wrong_portal"; KHÔNG redirect tới dashboard</t>
  </si>
  <si>
    <t>AdminPortalSuccessHandlerTest::onAuthenticationSuccess_customerRole_rejectedAndRedirectedToWrongPortal</t>
  </si>
  <si>
    <t>UT-020</t>
  </si>
  <si>
    <t>CustomerPortalSuccessHandler cho CUSTOMER vào danh sách phòng</t>
  </si>
  <si>
    <t>redirect "/customer/rooms"</t>
  </si>
  <si>
    <t>CustomerPortalSuccessHandlerTest::onAuthenticationSuccess_customerRole_redirectsToRoomsList</t>
  </si>
  <si>
    <t>UT-021</t>
  </si>
  <si>
    <t>CustomerPortalSuccessHandler chặn ADMIN, báo wrong_portal</t>
  </si>
  <si>
    <t>Gọi onAuthenticationSuccess() với principal role=ADMIN</t>
  </si>
  <si>
    <t>redirect "/login?error=wrong_portal"</t>
  </si>
  <si>
    <t>CustomerPortalSuccessHandlerTest::onAuthenticationSuccess_adminRole_rejectedAndRedirectedToWrongPortal</t>
  </si>
  <si>
    <t>UT-022</t>
  </si>
  <si>
    <t>CustomerPortalSuccessHandler chặn STAFF, báo wrong_portal</t>
  </si>
  <si>
    <t>CustomerPortalSuccessHandlerTest::onAuthenticationSuccess_staffRole_rejectedAndRedirectedToWrongPortal</t>
  </si>
  <si>
    <t>UT-023</t>
  </si>
  <si>
    <t>User.onCreate() tự gán createdAt</t>
  </si>
  <si>
    <t>Gọi method @PrePersist onCreate() qua reflection</t>
  </si>
  <si>
    <t>createdAt=null trước khi gọi</t>
  </si>
  <si>
    <t>Sau khi gọi, createdAt != null</t>
  </si>
  <si>
    <t>UserEntityTest::onCreate_setsCreatedAt</t>
  </si>
  <si>
    <t>UT-024</t>
  </si>
  <si>
    <t>User.onCreate() mặc định customerType=NEW khi null</t>
  </si>
  <si>
    <t>Gọi onCreate() khi customerType=null</t>
  </si>
  <si>
    <t>customerType=null</t>
  </si>
  <si>
    <t>Sau khi gọi, customerType=NEW</t>
  </si>
  <si>
    <t>UserEntityTest::onCreate_defaultsCustomerTypeToNewWhenNull</t>
  </si>
  <si>
    <t>UT-025</t>
  </si>
  <si>
    <t>User.onCreate() giữ nguyên customerType đã set</t>
  </si>
  <si>
    <t>Gọi onCreate() khi customerType=VIP đã set sẵn</t>
  </si>
  <si>
    <t>customerType=VIP (set sẵn)</t>
  </si>
  <si>
    <t>Sau khi gọi, customerType vẫn là VIP (không bị ghi đè)</t>
  </si>
  <si>
    <t>UserEntityTest::onCreate_keepsExplicitCustomerType</t>
  </si>
  <si>
    <t>UT-026</t>
  </si>
  <si>
    <t>Từ chối tạo đơn khi thiếu họ tên người nhận phòng</t>
  </si>
  <si>
    <t>Gọi createBooking() với guestName rỗng</t>
  </si>
  <si>
    <t>guestName=""</t>
  </si>
  <si>
    <t>Ném BusinessException yêu cầu nhập họ tên</t>
  </si>
  <si>
    <t>BookingServiceTest::createBooking_missingGuestName_throws</t>
  </si>
  <si>
    <t>UT-027</t>
  </si>
  <si>
    <t>Từ chối tạo đơn khi thiếu SĐT người nhận phòng</t>
  </si>
  <si>
    <t>Gọi createBooking() với guestPhone chỉ có khoảng trắng</t>
  </si>
  <si>
    <t>guestPhone=" "</t>
  </si>
  <si>
    <t>Ném BusinessException yêu cầu nhập số điện thoại</t>
  </si>
  <si>
    <t>BookingServiceTest::createBooking_missingGuestPhone_throws</t>
  </si>
  <si>
    <t>UT-028</t>
  </si>
  <si>
    <t>Từ chối tạo đơn khi thiếu email người nhận phòng</t>
  </si>
  <si>
    <t>Gọi createBooking() với guestEmail rỗng</t>
  </si>
  <si>
    <t>guestEmail=""</t>
  </si>
  <si>
    <t>Ném BusinessException yêu cầu nhập email</t>
  </si>
  <si>
    <t>BookingServiceTest::createBooking_missingGuestEmail_throws</t>
  </si>
  <si>
    <t>UT-029</t>
  </si>
  <si>
    <t>Từ chối tạo đơn khi email người nhận phòng sai định dạng</t>
  </si>
  <si>
    <t>Gọi createBooking() với guestEmail không đúng định dạng</t>
  </si>
  <si>
    <t>guestEmail="khong-hop-le"</t>
  </si>
  <si>
    <t>Ném BusinessException báo email không hợp lệ</t>
  </si>
  <si>
    <t>BookingServiceTest::createBooking_invalidGuestEmailFormat_throws</t>
  </si>
  <si>
    <t>UT-030</t>
  </si>
  <si>
    <t>Từ chối khi ngày trả không sau ngày nhận (BR-02)</t>
  </si>
  <si>
    <t>Gọi createBooking() với checkOut = checkIn</t>
  </si>
  <si>
    <t>checkIn = checkOut = cùng 1 ngày</t>
  </si>
  <si>
    <t>Ném BusinessException "Ngày trả phòng phải lớn hơn ngày nhận phòng"</t>
  </si>
  <si>
    <t>BookingServiceTest::createBooking_checkOutNotAfterCheckIn_throws</t>
  </si>
  <si>
    <t>UT-031</t>
  </si>
  <si>
    <t>Từ chối khi ngày nhận phòng ở quá khứ</t>
  </si>
  <si>
    <t>Gọi createBooking() với checkIn là ngày hôm qua</t>
  </si>
  <si>
    <t>checkIn = hôm nay - 1 ngày</t>
  </si>
  <si>
    <t>Ném BusinessException "Ngày nhận phòng không được ở trong quá khứ"</t>
  </si>
  <si>
    <t>BookingServiceTest::createBooking_checkInInPast_throws</t>
  </si>
  <si>
    <t>UT-032</t>
  </si>
  <si>
    <t>Từ chối đặt phòng đang bảo trì (BR-03)</t>
  </si>
  <si>
    <t>Gọi createBooking() khi room.status=MAINTENANCE (mock)</t>
  </si>
  <si>
    <t>room.status=MAINTENANCE</t>
  </si>
  <si>
    <t>Ném BusinessException "Phòng này đang bảo trì, không thể đặt"</t>
  </si>
  <si>
    <t>BookingServiceTest::createBooking_roomUnderMaintenance_throws</t>
  </si>
  <si>
    <t>UT-033</t>
  </si>
  <si>
    <t>Từ chối khi phòng trùng lịch (BR-01, double-check)</t>
  </si>
  <si>
    <t>Gọi createBooking() khi bookingRepository.existsOverlappingBooking=true (mock)</t>
  </si>
  <si>
    <t>khoảng ngày trùng với đơn hiện có</t>
  </si>
  <si>
    <t>Ném BusinessException báo phòng vừa được đặt mất</t>
  </si>
  <si>
    <t>BookingServiceTest::createBooking_overlappingDates_throws</t>
  </si>
  <si>
    <t>UT-034</t>
  </si>
  <si>
    <t>Từ chối khi phòng không tồn tại</t>
  </si>
  <si>
    <t>Gọi createBooking() khi roomRepository.findById rỗng (mock)</t>
  </si>
  <si>
    <t>roomId không tồn tại</t>
  </si>
  <si>
    <t>Ném BusinessException "Không tìm thấy phòng"</t>
  </si>
  <si>
    <t>BookingServiceTest::createBooking_roomNotFound_throws</t>
  </si>
  <si>
    <t>UT-035</t>
  </si>
  <si>
    <t>Tạo đơn thành công: mặc định PENDING + newBooking=true</t>
  </si>
  <si>
    <t>Gọi createBooking() với dữ liệu hợp lệ, không trùng lịch</t>
  </si>
  <si>
    <t>2 đêm, phòng 300.000đ/đêm, không combo/mã giảm</t>
  </si>
  <si>
    <t>status=PENDING; newBooking=true; totalAmount=600.000đ; gọi emailService 1 lần</t>
  </si>
  <si>
    <t>BookingServiceTest::createBooking_success_defaultsStatusPendingAndNewBookingTrue</t>
  </si>
  <si>
    <t>UT-036</t>
  </si>
  <si>
    <t>Tạo đơn kèm combo cộng đúng tiền combo</t>
  </si>
  <si>
    <t>Gọi createBooking() với comboId hợp lệ (mock comboRepository)</t>
  </si>
  <si>
    <t>1 đêm 300.000đ + combo 150.000đ</t>
  </si>
  <si>
    <t>totalAmount = 450.000đ</t>
  </si>
  <si>
    <t>BookingServiceTest::createBooking_withCombo_addsComboAmount</t>
  </si>
  <si>
    <t>UT-037</t>
  </si>
  <si>
    <t>Áp mã giảm giá theo % tính đúng</t>
  </si>
  <si>
    <t>Gọi createBooking() với mã PERCENTAGE 10% (mock discountCodeRepository)</t>
  </si>
  <si>
    <t>subtotal 300.000đ, giảm 10%</t>
  </si>
  <si>
    <t>discountAmount=30.000đ; totalAmount=270.000đ</t>
  </si>
  <si>
    <t>BookingServiceTest::createBooking_withPercentageDiscount_calculatesCorrectly</t>
  </si>
  <si>
    <t>UT-038</t>
  </si>
  <si>
    <t>Áp mã giảm giá cố định bị giới hạn không vượt subtotal</t>
  </si>
  <si>
    <t>Gọi createBooking() với mã FIXED_AMOUNT 500.000đ trên subtotal 300.000đ</t>
  </si>
  <si>
    <t>discountValue=500.000đ &gt; subtotal=300.000đ</t>
  </si>
  <si>
    <t>discountAmount=300.000đ (giới hạn); totalAmount=0</t>
  </si>
  <si>
    <t>BookingServiceTest::createBooking_withFixedDiscount_cappedAtSubtotal</t>
  </si>
  <si>
    <t>UT-039</t>
  </si>
  <si>
    <t>Từ chối mã giảm giá sai loại khách hàng</t>
  </si>
  <si>
    <t>Gọi createBooking() với mã chỉ áp cho VIP, khách customerType=NEW</t>
  </si>
  <si>
    <t>applicableCustomerType=VIP, khách NEW</t>
  </si>
  <si>
    <t>Ném BusinessException báo mã không áp dụng cho loại khách này</t>
  </si>
  <si>
    <t>BookingServiceTest::createBooking_discountWrongCustomerType_throws</t>
  </si>
  <si>
    <t>UT-040</t>
  </si>
  <si>
    <t>Từ chối mã giảm giá không tồn tại/đã ngừng</t>
  </si>
  <si>
    <t>Gọi createBooking() khi findByCodeAndActiveTrue rỗng (mock)</t>
  </si>
  <si>
    <t>code="NOPE"</t>
  </si>
  <si>
    <t>Ném BusinessException báo mã không tồn tại hoặc đã ngừng áp dụng</t>
  </si>
  <si>
    <t>BookingServiceTest::createBooking_discountNotFoundOrInactive_throws</t>
  </si>
  <si>
    <t>UT-041</t>
  </si>
  <si>
    <t>Mặc định 1 khách khi không nhập hoặc nhập &lt;= 0</t>
  </si>
  <si>
    <t>Gọi createBooking() với guests=null</t>
  </si>
  <si>
    <t>guests=null</t>
  </si>
  <si>
    <t>booking.numberOfGuests = 1</t>
  </si>
  <si>
    <t>BookingServiceTest::createBooking_defaultGuestsWhenNullOrNonPositive</t>
  </si>
  <si>
    <t>UT-042</t>
  </si>
  <si>
    <t>canModify=true khi còn đủ thời gian (PENDING)</t>
  </si>
  <si>
    <t>Gọi canModify() với checkIn còn 8 tiếng nữa, status=PENDING</t>
  </si>
  <si>
    <t>còn 8 tiếng, status=PENDING</t>
  </si>
  <si>
    <t>Trả về true</t>
  </si>
  <si>
    <t>BookingServiceTest::canModify_pendingWithEnoughLeadTime_true</t>
  </si>
  <si>
    <t>UT-043</t>
  </si>
  <si>
    <t>canModify=false khi trong mốc 6 tiếng cắt (EDIT_CUTOFF_HOURS)</t>
  </si>
  <si>
    <t>Gọi canModify() với checkIn còn 3 tiếng, status=CONFIRMED</t>
  </si>
  <si>
    <t>còn 3 tiếng, status=CONFIRMED</t>
  </si>
  <si>
    <t>Trả về false</t>
  </si>
  <si>
    <t>BookingServiceTest::canModify_withinCutoffHours_false</t>
  </si>
  <si>
    <t>UT-044</t>
  </si>
  <si>
    <t>canModify=false với trạng thái không hợp lệ (CHECKED_IN)</t>
  </si>
  <si>
    <t>Gọi canModify() với status=CHECKED_IN, còn 20 tiếng</t>
  </si>
  <si>
    <t>status=CHECKED_IN</t>
  </si>
  <si>
    <t>Trả về false (chỉ PENDING/CONFIRMED mới được sửa)</t>
  </si>
  <si>
    <t>BookingServiceTest::canModify_wrongStatus_false</t>
  </si>
  <si>
    <t>UT-045</t>
  </si>
  <si>
    <t>Đổi giờ nhận/trả hợp lệ set cờ checkInTimeChanged</t>
  </si>
  <si>
    <t>Gọi updateTimes() khi canModify=true</t>
  </si>
  <si>
    <t>còn 10 tiếng, giờ mới 16:00/11:00</t>
  </si>
  <si>
    <t>checkInTimeChanged=true; giờ cập nhật đúng</t>
  </si>
  <si>
    <t>BookingServiceTest::updateTimes_success_setsCheckInTimeChangedTrue</t>
  </si>
  <si>
    <t>UT-046</t>
  </si>
  <si>
    <t>Đổi giờ nhận/trả quá cận giờ bị từ chối</t>
  </si>
  <si>
    <t>Gọi updateTimes() khi còn 2 tiếng (&lt; 6 tiếng)</t>
  </si>
  <si>
    <t>còn 2 tiếng</t>
  </si>
  <si>
    <t>Ném BusinessException từ chối sửa giờ</t>
  </si>
  <si>
    <t>BookingServiceTest::updateTimes_tooLate_throws</t>
  </si>
  <si>
    <t>UT-047</t>
  </si>
  <si>
    <t>Đổi combo tính lại đúng tổng tiền</t>
  </si>
  <si>
    <t>Gọi updateCombo() với combo mới 100.000đ, 2 đêm 300.000đ/đêm</t>
  </si>
  <si>
    <t>2 đêm + combo mới 100.000đ</t>
  </si>
  <si>
    <t>totalAmount = 700.000đ</t>
  </si>
  <si>
    <t>BookingServiceTest::updateCombo_recalculatesTotal</t>
  </si>
  <si>
    <t>UT-048</t>
  </si>
  <si>
    <t>Hủy đơn từ PENDING thành công</t>
  </si>
  <si>
    <t>Gọi cancelBooking() khi status=PENDING</t>
  </si>
  <si>
    <t>status=PENDING</t>
  </si>
  <si>
    <t>status chuyển thành CANCELLED</t>
  </si>
  <si>
    <t>BookingServiceTest::cancelBooking_fromPending_success</t>
  </si>
  <si>
    <t>UT-049</t>
  </si>
  <si>
    <t>Hủy đơn từ CHECKED_IN bị từ chối</t>
  </si>
  <si>
    <t>Gọi cancelBooking() khi status=CHECKED_IN</t>
  </si>
  <si>
    <t>Ném BusinessException (chỉ hủy được từ PENDING/CONFIRMED)</t>
  </si>
  <si>
    <t>BookingServiceTest::cancelBooking_fromCheckedIn_throws</t>
  </si>
  <si>
    <t>UT-050</t>
  </si>
  <si>
    <t>Xác nhận đơn từ PENDING thành công</t>
  </si>
  <si>
    <t>Gọi confirmBooking() khi status=PENDING</t>
  </si>
  <si>
    <t>status chuyển thành CONFIRMED</t>
  </si>
  <si>
    <t>BookingServiceTest::confirmBooking_fromPending_success</t>
  </si>
  <si>
    <t>UT-051</t>
  </si>
  <si>
    <t>Xác nhận đơn không phải PENDING bị từ chối</t>
  </si>
  <si>
    <t>Gọi confirmBooking() khi status=CONFIRMED</t>
  </si>
  <si>
    <t>status=CONFIRMED</t>
  </si>
  <si>
    <t>Ném BusinessException (chỉ xác nhận được từ PENDING)</t>
  </si>
  <si>
    <t>BookingServiceTest::confirmBooking_notPending_throws</t>
  </si>
  <si>
    <t>UT-052</t>
  </si>
  <si>
    <t>Check-in từ CONFIRMED set phòng OCCUPIED (BR-04)</t>
  </si>
  <si>
    <t>Gọi checkIn() khi status=CONFIRMED</t>
  </si>
  <si>
    <t>booking.status=CHECKED_IN; room.status=OCCUPIED</t>
  </si>
  <si>
    <t>BookingServiceTest::checkIn_fromConfirmed_setsRoomOccupied</t>
  </si>
  <si>
    <t>UT-053</t>
  </si>
  <si>
    <t>Check-in khi chưa xác nhận bị từ chối</t>
  </si>
  <si>
    <t>Gọi checkIn() khi status=PENDING</t>
  </si>
  <si>
    <t>Ném BusinessException (chỉ check-in được đơn CONFIRMED)</t>
  </si>
  <si>
    <t>BookingServiceTest::checkIn_notConfirmed_throws</t>
  </si>
  <si>
    <t>UT-054</t>
  </si>
  <si>
    <t>Check-out từ CHECKED_IN set phòng NOT_READY (BR-05)</t>
  </si>
  <si>
    <t>Gọi checkOut() khi status=CHECKED_IN</t>
  </si>
  <si>
    <t>booking.status=CHECKED_OUT; room.status=NOT_READY</t>
  </si>
  <si>
    <t>BookingServiceTest::checkOut_fromCheckedIn_setsRoomNotReady</t>
  </si>
  <si>
    <t>UT-055</t>
  </si>
  <si>
    <t>Check-out khi chưa check-in bị từ chối</t>
  </si>
  <si>
    <t>Gọi checkOut() khi status=CONFIRMED</t>
  </si>
  <si>
    <t>Ném BusinessException (chỉ check-out được đơn CHECKED_IN)</t>
  </si>
  <si>
    <t>BookingServiceTest::checkOut_notCheckedIn_throws</t>
  </si>
  <si>
    <t>UT-056</t>
  </si>
  <si>
    <t>Đặt phòng tại quầy (walk-in) tạo đơn CONFIRMED ngay</t>
  </si>
  <si>
    <t>Gọi createWalkInBooking() với dữ liệu hợp lệ</t>
  </si>
  <si>
    <t>khách vãng lai, phòng còn trống</t>
  </si>
  <si>
    <t>status=CONFIRMED (bỏ qua PENDING); newBooking=false</t>
  </si>
  <si>
    <t>BookingServiceTest::createWalkInBooking_setsConfirmedAndNewBookingFalse</t>
  </si>
  <si>
    <t>UT-057</t>
  </si>
  <si>
    <t>Walk-in vẫn kiểm tra trùng lịch như đặt online</t>
  </si>
  <si>
    <t>Gọi createWalkInBooking() khi phòng đã trùng lịch (mock)</t>
  </si>
  <si>
    <t>phòng trùng lịch</t>
  </si>
  <si>
    <t>Ném BusinessException "Phòng đã được đặt..."</t>
  </si>
  <si>
    <t>BookingServiceTest::createWalkInBooking_stillRejectsOverlap</t>
  </si>
  <si>
    <t>UT-058</t>
  </si>
  <si>
    <t>Nhân viên hủy đơn từ CONFIRMED thành công</t>
  </si>
  <si>
    <t>Gọi cancelBookingByStaff() khi status=CONFIRMED</t>
  </si>
  <si>
    <t>BookingServiceTest::cancelBookingByStaff_fromConfirmed_success</t>
  </si>
  <si>
    <t>UT-059</t>
  </si>
  <si>
    <t>Nhân viên hủy đơn sai trạng thái bị từ chối</t>
  </si>
  <si>
    <t>Gọi cancelBookingByStaff() khi status=CHECKED_OUT</t>
  </si>
  <si>
    <t>status=CHECKED_OUT</t>
  </si>
  <si>
    <t>Ném BusinessException</t>
  </si>
  <si>
    <t>BookingServiceTest::cancelBookingByStaff_wrongStatus_throws</t>
  </si>
  <si>
    <t>UT-060</t>
  </si>
  <si>
    <t>Lọc danh sách đơn theo trạng thái</t>
  </si>
  <si>
    <t>Gọi findAllBookings(status) với 2 đơn khác trạng thái</t>
  </si>
  <si>
    <t>Chỉ trả về đơn đang PENDING</t>
  </si>
  <si>
    <t>BookingServiceTest::findAllBookings_filterByStatus</t>
  </si>
  <si>
    <t>UT-061</t>
  </si>
  <si>
    <t>Tìm kiếm đơn theo SĐT người nhận phòng</t>
  </si>
  <si>
    <t>Gọi findAllBookings(null, keyword) khớp guestPhone</t>
  </si>
  <si>
    <t>keyword="0901234567"</t>
  </si>
  <si>
    <t>Chỉ trả đơn có guestPhone/guestName/guestEmail khớp từ khóa</t>
  </si>
  <si>
    <t>BookingServiceTest::findAllBookings_searchByKeyword_matchesGuestFields</t>
  </si>
  <si>
    <t>UT-062</t>
  </si>
  <si>
    <t>Nhân viên mở xem chi tiết đơn tắt các cờ cảnh báo</t>
  </si>
  <si>
    <t>Gọi findByIdAndMarkSeenByStaff() khi newBooking=true, checkInTimeChanged=true</t>
  </si>
  <si>
    <t>2 cờ đều true trước khi xem</t>
  </si>
  <si>
    <t>Sau khi xem, cả 2 cờ đều false</t>
  </si>
  <si>
    <t>BookingServiceTest::findByIdAndMarkSeenByStaff_clearsFlags</t>
  </si>
  <si>
    <t>UT-063</t>
  </si>
  <si>
    <t>Đếm số đơn mới ủy quyền đúng cho repository</t>
  </si>
  <si>
    <t>Gọi countNewBookings(), mock repository trả 3</t>
  </si>
  <si>
    <t>repository.countByNewBookingTrue()=3</t>
  </si>
  <si>
    <t>Trả về 3</t>
  </si>
  <si>
    <t>BookingServiceTest::countNewBookings_delegatesToRepository</t>
  </si>
  <si>
    <t>UT-064</t>
  </si>
  <si>
    <t>Chặn khách xem đơn không phải của mình</t>
  </si>
  <si>
    <t>Gọi findByIdForCustomer() với customerId khác chủ đơn</t>
  </si>
  <si>
    <t>đơn thuộc khách khác</t>
  </si>
  <si>
    <t>Ném BusinessException "Bạn không có quyền xem đơn đặt phòng này"</t>
  </si>
  <si>
    <t>BookingServiceTest::findByIdForCustomer_wrongOwner_throws</t>
  </si>
  <si>
    <t>UT-065</t>
  </si>
  <si>
    <t>Thống kê trạng thái chỉ đếm đơn trong khoảng lọc</t>
  </si>
  <si>
    <t>Gọi getBookingStatusCounts() với 1 đơn trong khoảng, 1 đơn ngoài khoảng (90 ngày trước)</t>
  </si>
  <si>
    <t>khoảng lọc ±5 ngày quanh hôm nay</t>
  </si>
  <si>
    <t>Chỉ đếm 1 đơn nằm trong khoảng lọc</t>
  </si>
  <si>
    <t>BookingServiceTest::getBookingStatusCounts_onlyCountsWithinRange</t>
  </si>
  <si>
    <t>UT-066</t>
  </si>
  <si>
    <t>Doanh thu theo loại phòng loại trừ đơn đã hủy</t>
  </si>
  <si>
    <t>Gọi getRevenueByRoomType() với 1 đơn CANCELLED, 1 đơn CONFIRMED cùng khoảng ngày</t>
  </si>
  <si>
    <t>1 CANCELLED + 1 CONFIRMED</t>
  </si>
  <si>
    <t>Chỉ cộng doanh thu của đơn CONFIRMED (300.000đ)</t>
  </si>
  <si>
    <t>BookingServiceTest::getRevenueByRoomType_excludesCancelled</t>
  </si>
  <si>
    <t>UT-067</t>
  </si>
  <si>
    <t>Doanh thu theo thời gian gom theo NGÀY khi khoảng ≤31 ngày</t>
  </si>
  <si>
    <t>Gọi getRevenueTrend() với khoảng 11 ngày (±5 ngày)</t>
  </si>
  <si>
    <t>khoảng lọc 11 ngày</t>
  </si>
  <si>
    <t>Kết quả có đúng 11 nhãn (gom theo từng ngày)</t>
  </si>
  <si>
    <t>BookingServiceTest::getRevenueTrend_groupsByDayForShortRange</t>
  </si>
  <si>
    <t>UT-068</t>
  </si>
  <si>
    <t>Doanh thu theo thời gian gom theo THÁNG khi khoảng &gt;31 ngày</t>
  </si>
  <si>
    <t>Gọi getRevenueTrend() với khoảng 90 ngày</t>
  </si>
  <si>
    <t>khoảng lọc 90 ngày</t>
  </si>
  <si>
    <t>Kết quả gom theo tháng (≤4 nhãn), tổng doanh thu các tháng = tổng gốc</t>
  </si>
  <si>
    <t>BookingServiceTest::getRevenueTrend_groupsByMonthForLongRange</t>
  </si>
  <si>
    <t>UT-069</t>
  </si>
  <si>
    <t>Doanh thu theo thời gian không lỗi khi không có đơn</t>
  </si>
  <si>
    <t>Gọi getRevenueTrend() với danh sách đơn rỗng</t>
  </si>
  <si>
    <t>0 đơn trong khoảng lọc</t>
  </si>
  <si>
    <t>Trả về 1 nhãn với giá trị 0, không ném lỗi chia 0</t>
  </si>
  <si>
    <t>BookingServiceTest::getRevenueTrend_emptyRange_noErrorAndZeroTotal</t>
  </si>
  <si>
    <t>UT-070</t>
  </si>
  <si>
    <t>Builder Booking mặc định newBooking=true</t>
  </si>
  <si>
    <t>Khởi tạo Booking qua @Builder không truyền newBooking</t>
  </si>
  <si>
    <t>Builder.build() mặc định</t>
  </si>
  <si>
    <t>booking.newBooking = true (nhờ @Builder.Default)</t>
  </si>
  <si>
    <t>BookingEntityTest::builder_defaultsNewBookingToTrue</t>
  </si>
  <si>
    <t>UT-071</t>
  </si>
  <si>
    <t>Builder Booking mặc định checkInTimeChanged=false</t>
  </si>
  <si>
    <t>Khởi tạo Booking qua @Builder không truyền checkInTimeChanged</t>
  </si>
  <si>
    <t>booking.checkInTimeChanged = false</t>
  </si>
  <si>
    <t>BookingEntityTest::builder_defaultsCheckInTimeChangedToFalse</t>
  </si>
  <si>
    <t>UT-072</t>
  </si>
  <si>
    <t>Booking.onCreate() tự gán createdAt</t>
  </si>
  <si>
    <t>Gọi @PrePersist onCreate() qua reflection</t>
  </si>
  <si>
    <t>BookingEntityTest::onCreate_setsCreatedAt</t>
  </si>
  <si>
    <t>UT-073</t>
  </si>
  <si>
    <t>Booking.onCreate() mặc định status=PENDING khi null</t>
  </si>
  <si>
    <t>Gọi onCreate() khi status=null</t>
  </si>
  <si>
    <t>status=null</t>
  </si>
  <si>
    <t>Sau khi gọi, status=PENDING</t>
  </si>
  <si>
    <t>BookingEntityTest::onCreate_defaultsStatusToPendingWhenNull</t>
  </si>
  <si>
    <t>UT-074</t>
  </si>
  <si>
    <t>Booking.onCreate() giữ nguyên status đã set</t>
  </si>
  <si>
    <t>Gọi onCreate() khi status=CONFIRMED đã set sẵn</t>
  </si>
  <si>
    <t>status=CONFIRMED (set sẵn)</t>
  </si>
  <si>
    <t>Sau khi gọi, status vẫn là CONFIRMED</t>
  </si>
  <si>
    <t>BookingEntityTest::onCreate_keepsExplicitStatus</t>
  </si>
  <si>
    <t>UT-075</t>
  </si>
  <si>
    <t>BookingStatus trả đúng nhãn tiếng Việt cho từng trạng thái</t>
  </si>
  <si>
    <t>Gọi getVietnameseLabel() cho cả 5 giá trị enum</t>
  </si>
  <si>
    <t>PENDING/CONFIRMED/CHECKED_IN/CHECKED_OUT/CANCELLED</t>
  </si>
  <si>
    <t>Mỗi trạng thái trả đúng nhãn tiếng Việt tương ứng</t>
  </si>
  <si>
    <t>BookingStatusTest::getVietnameseLabel_returnsCorrectLabelForEachStatus</t>
  </si>
  <si>
    <t>UT-076</t>
  </si>
  <si>
    <t>Mỗi trạng thái có 1 class badge riêng biệt</t>
  </si>
  <si>
    <t>So sánh getBadgeClass() của cả 5 giá trị enum</t>
  </si>
  <si>
    <t>5 giá trị BookingStatus</t>
  </si>
  <si>
    <t>5 class badge đều khác nhau (không trùng màu)</t>
  </si>
  <si>
    <t>BookingStatusTest::getBadgeClass_returnsDistinctClassForEachStatus</t>
  </si>
  <si>
    <t>UT-077</t>
  </si>
  <si>
    <t>Badge PENDING là màu warning</t>
  </si>
  <si>
    <t>Gọi getBadgeClass() cho PENDING</t>
  </si>
  <si>
    <t>Trả về "bg-warning text-dark"</t>
  </si>
  <si>
    <t>BookingStatusTest::getBadgeClass_pendingIsWarning</t>
  </si>
  <si>
    <t>UT-078</t>
  </si>
  <si>
    <t>Badge CANCELLED là màu danger</t>
  </si>
  <si>
    <t>Gọi getBadgeClass() cho CANCELLED</t>
  </si>
  <si>
    <t>status=CANCELLED</t>
  </si>
  <si>
    <t>Trả về "bg-danger"</t>
  </si>
  <si>
    <t>BookingStatusTest::getBadgeClass_cancelledIsDanger</t>
  </si>
  <si>
    <t>UT-079</t>
  </si>
  <si>
    <t>Tạo đơn thành công - kiểm tra trạng thái PENDING</t>
  </si>
  <si>
    <t>Gọi createBooking() thành công, kiểm tra trạng thái đơn và việc gửi email</t>
  </si>
  <si>
    <t>trạng thái PENDING đúng như thiết kế</t>
  </si>
  <si>
    <t>Đợt 2</t>
  </si>
  <si>
    <t>BookingServiceParamTest::create_success_sideEffects</t>
  </si>
  <si>
    <t>04/10/2026</t>
  </si>
  <si>
    <t>UT-080</t>
  </si>
  <si>
    <t>Tạo đơn thành công - kiểm tra cờ đơn mới = true</t>
  </si>
  <si>
    <t>cờ đơn mới = true đúng như thiết kế</t>
  </si>
  <si>
    <t>UT-081</t>
  </si>
  <si>
    <t>Tạo đơn thành công - kiểm tra gửi email xác nhận 1 lần</t>
  </si>
  <si>
    <t>gửi email xác nhận 1 lần đúng như thiết kế</t>
  </si>
  <si>
    <t>UT-082</t>
  </si>
  <si>
    <t>Tạo đơn thành công - kiểm tra lưu đúng họ tên người nhận (đã trim)</t>
  </si>
  <si>
    <t>lưu đúng họ tên người nhận (đã trim) đúng như thiết kế</t>
  </si>
  <si>
    <t>UT-083</t>
  </si>
  <si>
    <t>Nhân viên hủy đơn khi đơn đang PENDING</t>
  </si>
  <si>
    <t>Mock đơn ở trạng thái S, nhân viên gọi cancelBookingByStaff()</t>
  </si>
  <si>
    <t>Chỉ PENDING/CONFIRMED được hủy</t>
  </si>
  <si>
    <t>BookingServiceParamTest::stateMachine_cancelByStaff</t>
  </si>
  <si>
    <t>UT-084</t>
  </si>
  <si>
    <t>Nhân viên hủy đơn khi đơn đang CONFIRMED</t>
  </si>
  <si>
    <t>UT-085</t>
  </si>
  <si>
    <t>Nhân viên hủy đơn khi đơn đang CHECKED_IN</t>
  </si>
  <si>
    <t>UT-086</t>
  </si>
  <si>
    <t>Nhân viên hủy đơn khi đơn đang CHECKED_OUT</t>
  </si>
  <si>
    <t>UT-087</t>
  </si>
  <si>
    <t>Nhân viên hủy đơn khi đơn đang CANCELLED</t>
  </si>
  <si>
    <t>UT-088</t>
  </si>
  <si>
    <t>Biểu đồ doanh thu theo thời gian - khoảng 1 ngày</t>
  </si>
  <si>
    <t>Gọi getRevenueTrend(from, to) với khoảng D ngày, đếm số nhãn trên trục thời gian</t>
  </si>
  <si>
    <t>from..to dài 1 ngày</t>
  </si>
  <si>
    <t>Gom theo ngày, có 1 nhãn</t>
  </si>
  <si>
    <t>BookingServiceParamTest::revenueTrend_groupByDay</t>
  </si>
  <si>
    <t>UT-089</t>
  </si>
  <si>
    <t>Biểu đồ doanh thu theo thời gian - khoảng 7 ngày</t>
  </si>
  <si>
    <t>from..to dài 7 ngày</t>
  </si>
  <si>
    <t>Gom theo ngày, có 7 nhãn</t>
  </si>
  <si>
    <t>UT-090</t>
  </si>
  <si>
    <t>Biểu đồ doanh thu theo thời gian - khoảng 30 ngày</t>
  </si>
  <si>
    <t>from..to dài 30 ngày</t>
  </si>
  <si>
    <t>Gom theo ngày, có 30 nhãn</t>
  </si>
  <si>
    <t>UT-091</t>
  </si>
  <si>
    <t>Biểu đồ doanh thu theo thời gian - khoảng 31 ngày</t>
  </si>
  <si>
    <t>from..to dài 31 ngày</t>
  </si>
  <si>
    <t>Gom theo ngày, có 31 nhãn</t>
  </si>
  <si>
    <t>UT-092</t>
  </si>
  <si>
    <t>Xác nhận đơn khi đơn đang PENDING</t>
  </si>
  <si>
    <t>Mock đơn ở trạng thái S, nhân viên gọi confirmBooking()</t>
  </si>
  <si>
    <t>Chỉ PENDING → CONFIRMED, trạng thái khác báo lỗi</t>
  </si>
  <si>
    <t>BookingServiceParamTest::stateMachine_confirm</t>
  </si>
  <si>
    <t>UT-093</t>
  </si>
  <si>
    <t>Xác nhận đơn khi đơn đang CONFIRMED</t>
  </si>
  <si>
    <t>UT-094</t>
  </si>
  <si>
    <t>Xác nhận đơn khi đơn đang CHECKED_IN</t>
  </si>
  <si>
    <t>UT-095</t>
  </si>
  <si>
    <t>Xác nhận đơn khi đơn đang CHECKED_OUT</t>
  </si>
  <si>
    <t>UT-096</t>
  </si>
  <si>
    <t>Xác nhận đơn khi đơn đang CANCELLED</t>
  </si>
  <si>
    <t>UT-097</t>
  </si>
  <si>
    <t>Tính tổng tiền: 1 đêm × 200000 VND + combo 0 VND</t>
  </si>
  <si>
    <t>Mock phòng có đơn giá P, gọi createBooking() với số đêm N và combo C (nếu có), đọc totalAmount</t>
  </si>
  <si>
    <t>price=200000, nights=1, combo=0</t>
  </si>
  <si>
    <t>totalAmount = 200000 VND</t>
  </si>
  <si>
    <t>BookingServiceParamTest::totalAmount_roomNightsPlusCombo</t>
  </si>
  <si>
    <t>UT-098</t>
  </si>
  <si>
    <t>Tính tổng tiền: 2 đêm × 200000 VND + combo 0 VND</t>
  </si>
  <si>
    <t>price=200000, nights=2, combo=0</t>
  </si>
  <si>
    <t>totalAmount = 400000 VND</t>
  </si>
  <si>
    <t>UT-099</t>
  </si>
  <si>
    <t>Tính tổng tiền: 3 đêm × 200000 VND + combo 0 VND</t>
  </si>
  <si>
    <t>price=200000, nights=3, combo=0</t>
  </si>
  <si>
    <t>totalAmount = 600000 VND</t>
  </si>
  <si>
    <t>UT-100</t>
  </si>
  <si>
    <t>Tính tổng tiền: 5 đêm × 200000 VND + combo 0 VND</t>
  </si>
  <si>
    <t>price=200000, nights=5, combo=0</t>
  </si>
  <si>
    <t>totalAmount = 1000000 VND</t>
  </si>
  <si>
    <t>UT-101</t>
  </si>
  <si>
    <t>Tính tổng tiền: 7 đêm × 200000 VND + combo 0 VND</t>
  </si>
  <si>
    <t>price=200000, nights=7, combo=0</t>
  </si>
  <si>
    <t>totalAmount = 1400000 VND</t>
  </si>
  <si>
    <t>UT-102</t>
  </si>
  <si>
    <t>Tính tổng tiền: 14 đêm × 200000 VND + combo 0 VND</t>
  </si>
  <si>
    <t>price=200000, nights=14, combo=0</t>
  </si>
  <si>
    <t>totalAmount = 2800000 VND</t>
  </si>
  <si>
    <t>UT-103</t>
  </si>
  <si>
    <t>Tính tổng tiền: 1 đêm × 500000 VND + combo 0 VND</t>
  </si>
  <si>
    <t>price=500000, nights=1, combo=0</t>
  </si>
  <si>
    <t>totalAmount = 500000 VND</t>
  </si>
  <si>
    <t>UT-104</t>
  </si>
  <si>
    <t>Tính tổng tiền: 2 đêm × 500000 VND + combo 0 VND</t>
  </si>
  <si>
    <t>price=500000, nights=2, combo=0</t>
  </si>
  <si>
    <t>UT-105</t>
  </si>
  <si>
    <t>Tính tổng tiền: 3 đêm × 500000 VND + combo 0 VND</t>
  </si>
  <si>
    <t>price=500000, nights=3, combo=0</t>
  </si>
  <si>
    <t>totalAmount = 1500000 VND</t>
  </si>
  <si>
    <t>UT-106</t>
  </si>
  <si>
    <t>Tính tổng tiền: 5 đêm × 500000 VND + combo 0 VND</t>
  </si>
  <si>
    <t>price=500000, nights=5, combo=0</t>
  </si>
  <si>
    <t>totalAmount = 2500000 VND</t>
  </si>
  <si>
    <t>UT-107</t>
  </si>
  <si>
    <t>Tính tổng tiền: 7 đêm × 500000 VND + combo 0 VND</t>
  </si>
  <si>
    <t>price=500000, nights=7, combo=0</t>
  </si>
  <si>
    <t>totalAmount = 3500000 VND</t>
  </si>
  <si>
    <t>UT-108</t>
  </si>
  <si>
    <t>Tính tổng tiền: 14 đêm × 500000 VND + combo 0 VND</t>
  </si>
  <si>
    <t>price=500000, nights=14, combo=0</t>
  </si>
  <si>
    <t>totalAmount = 7000000 VND</t>
  </si>
  <si>
    <t>UT-109</t>
  </si>
  <si>
    <t>Tính tổng tiền: 1 đêm × 799000 VND + combo 0 VND</t>
  </si>
  <si>
    <t>price=799000, nights=1, combo=0</t>
  </si>
  <si>
    <t>totalAmount = 799000 VND</t>
  </si>
  <si>
    <t>UT-110</t>
  </si>
  <si>
    <t>Tính tổng tiền: 2 đêm × 799000 VND + combo 0 VND</t>
  </si>
  <si>
    <t>price=799000, nights=2, combo=0</t>
  </si>
  <si>
    <t>totalAmount = 1598000 VND</t>
  </si>
  <si>
    <t>UT-111</t>
  </si>
  <si>
    <t>Tính tổng tiền: 3 đêm × 799000 VND + combo 0 VND</t>
  </si>
  <si>
    <t>price=799000, nights=3, combo=0</t>
  </si>
  <si>
    <t>totalAmount = 2397000 VND</t>
  </si>
  <si>
    <t>UT-112</t>
  </si>
  <si>
    <t>Tính tổng tiền: 5 đêm × 799000 VND + combo 0 VND</t>
  </si>
  <si>
    <t>price=799000, nights=5, combo=0</t>
  </si>
  <si>
    <t>totalAmount = 3995000 VND</t>
  </si>
  <si>
    <t>UT-113</t>
  </si>
  <si>
    <t>Tính tổng tiền: 7 đêm × 799000 VND + combo 0 VND</t>
  </si>
  <si>
    <t>price=799000, nights=7, combo=0</t>
  </si>
  <si>
    <t>totalAmount = 5593000 VND</t>
  </si>
  <si>
    <t>UT-114</t>
  </si>
  <si>
    <t>Tính tổng tiền: 14 đêm × 799000 VND + combo 0 VND</t>
  </si>
  <si>
    <t>price=799000, nights=14, combo=0</t>
  </si>
  <si>
    <t>totalAmount = 11186000 VND</t>
  </si>
  <si>
    <t>UT-115</t>
  </si>
  <si>
    <t>Tính tổng tiền: 1 đêm × 200000 VND + combo 399000 VND</t>
  </si>
  <si>
    <t>price=200000, nights=1, combo=399000</t>
  </si>
  <si>
    <t>totalAmount = 599000 VND</t>
  </si>
  <si>
    <t>UT-116</t>
  </si>
  <si>
    <t>Tính tổng tiền: 2 đêm × 200000 VND + combo 399000 VND</t>
  </si>
  <si>
    <t>price=200000, nights=2, combo=399000</t>
  </si>
  <si>
    <t>UT-117</t>
  </si>
  <si>
    <t>Tính tổng tiền: 3 đêm × 200000 VND + combo 399000 VND</t>
  </si>
  <si>
    <t>price=200000, nights=3, combo=399000</t>
  </si>
  <si>
    <t>totalAmount = 999000 VND</t>
  </si>
  <si>
    <t>UT-118</t>
  </si>
  <si>
    <t>Tính tổng tiền: 5 đêm × 200000 VND + combo 399000 VND</t>
  </si>
  <si>
    <t>price=200000, nights=5, combo=399000</t>
  </si>
  <si>
    <t>totalAmount = 1399000 VND</t>
  </si>
  <si>
    <t>UT-119</t>
  </si>
  <si>
    <t>Tính tổng tiền: 7 đêm × 200000 VND + combo 399000 VND</t>
  </si>
  <si>
    <t>price=200000, nights=7, combo=399000</t>
  </si>
  <si>
    <t>totalAmount = 1799000 VND</t>
  </si>
  <si>
    <t>UT-120</t>
  </si>
  <si>
    <t>Tính tổng tiền: 14 đêm × 200000 VND + combo 399000 VND</t>
  </si>
  <si>
    <t>price=200000, nights=14, combo=399000</t>
  </si>
  <si>
    <t>totalAmount = 3199000 VND</t>
  </si>
  <si>
    <t>UT-121</t>
  </si>
  <si>
    <t>Tính tổng tiền: 1 đêm × 500000 VND + combo 399000 VND</t>
  </si>
  <si>
    <t>price=500000, nights=1, combo=399000</t>
  </si>
  <si>
    <t>totalAmount = 899000 VND</t>
  </si>
  <si>
    <t>UT-122</t>
  </si>
  <si>
    <t>Tính tổng tiền: 2 đêm × 500000 VND + combo 399000 VND</t>
  </si>
  <si>
    <t>price=500000, nights=2, combo=399000</t>
  </si>
  <si>
    <t>UT-123</t>
  </si>
  <si>
    <t>Tính tổng tiền: 3 đêm × 500000 VND + combo 399000 VND</t>
  </si>
  <si>
    <t>price=500000, nights=3, combo=399000</t>
  </si>
  <si>
    <t>totalAmount = 1899000 VND</t>
  </si>
  <si>
    <t>UT-124</t>
  </si>
  <si>
    <t>Tính tổng tiền: 5 đêm × 500000 VND + combo 399000 VND</t>
  </si>
  <si>
    <t>price=500000, nights=5, combo=399000</t>
  </si>
  <si>
    <t>totalAmount = 2899000 VND</t>
  </si>
  <si>
    <t>UT-125</t>
  </si>
  <si>
    <t>Tính tổng tiền: 7 đêm × 500000 VND + combo 399000 VND</t>
  </si>
  <si>
    <t>price=500000, nights=7, combo=399000</t>
  </si>
  <si>
    <t>totalAmount = 3899000 VND</t>
  </si>
  <si>
    <t>UT-126</t>
  </si>
  <si>
    <t>Tính tổng tiền: 14 đêm × 500000 VND + combo 399000 VND</t>
  </si>
  <si>
    <t>price=500000, nights=14, combo=399000</t>
  </si>
  <si>
    <t>totalAmount = 7399000 VND</t>
  </si>
  <si>
    <t>UT-127</t>
  </si>
  <si>
    <t>Tính tổng tiền: 1 đêm × 799000 VND + combo 299000 VND</t>
  </si>
  <si>
    <t>price=799000, nights=1, combo=299000</t>
  </si>
  <si>
    <t>totalAmount = 1098000 VND</t>
  </si>
  <si>
    <t>UT-128</t>
  </si>
  <si>
    <t>Tính tổng tiền: 2 đêm × 799000 VND + combo 299000 VND</t>
  </si>
  <si>
    <t>price=799000, nights=2, combo=299000</t>
  </si>
  <si>
    <t>totalAmount = 1897000 VND</t>
  </si>
  <si>
    <t>UT-129</t>
  </si>
  <si>
    <t>Tính tổng tiền: 3 đêm × 799000 VND + combo 299000 VND</t>
  </si>
  <si>
    <t>price=799000, nights=3, combo=299000</t>
  </si>
  <si>
    <t>totalAmount = 2696000 VND</t>
  </si>
  <si>
    <t>UT-130</t>
  </si>
  <si>
    <t>Tính tổng tiền: 5 đêm × 799000 VND + combo 299000 VND</t>
  </si>
  <si>
    <t>price=799000, nights=5, combo=299000</t>
  </si>
  <si>
    <t>totalAmount = 4294000 VND</t>
  </si>
  <si>
    <t>UT-131</t>
  </si>
  <si>
    <t>Tính tổng tiền: 7 đêm × 799000 VND + combo 299000 VND</t>
  </si>
  <si>
    <t>price=799000, nights=7, combo=299000</t>
  </si>
  <si>
    <t>totalAmount = 5892000 VND</t>
  </si>
  <si>
    <t>UT-132</t>
  </si>
  <si>
    <t>Tính tổng tiền: 14 đêm × 799000 VND + combo 299000 VND</t>
  </si>
  <si>
    <t>price=799000, nights=14, combo=299000</t>
  </si>
  <si>
    <t>totalAmount = 11485000 VND</t>
  </si>
  <si>
    <t>UT-133</t>
  </si>
  <si>
    <t>Giảm giá theo phần trăm 5% trên 1 đêm, combo 0</t>
  </si>
  <si>
    <t>Mock phòng 500.000/đêm, mã PERCENTAGE x%, gọi createBooking() N đêm (có/không combo 399.000)</t>
  </si>
  <si>
    <t>PERCENTAGE 5%, nights=1, combo=0</t>
  </si>
  <si>
    <t>discountAmount = 25000, totalAmount = 475000</t>
  </si>
  <si>
    <t>BookingServiceParamTest::discount_percentage</t>
  </si>
  <si>
    <t>UT-134</t>
  </si>
  <si>
    <t>Giảm giá theo phần trăm 10% trên 1 đêm, combo 0</t>
  </si>
  <si>
    <t>PERCENTAGE 10%, nights=1, combo=0</t>
  </si>
  <si>
    <t>discountAmount = 50000, totalAmount = 450000</t>
  </si>
  <si>
    <t>UT-135</t>
  </si>
  <si>
    <t>Giảm giá theo phần trăm 15% trên 1 đêm, combo 0</t>
  </si>
  <si>
    <t>PERCENTAGE 15%, nights=1, combo=0</t>
  </si>
  <si>
    <t>discountAmount = 75000, totalAmount = 425000</t>
  </si>
  <si>
    <t>UT-136</t>
  </si>
  <si>
    <t>Giảm giá theo phần trăm 20% trên 1 đêm, combo 0</t>
  </si>
  <si>
    <t>PERCENTAGE 20%, nights=1, combo=0</t>
  </si>
  <si>
    <t>discountAmount = 100000, totalAmount = 400000</t>
  </si>
  <si>
    <t>UT-137</t>
  </si>
  <si>
    <t>Giảm giá theo phần trăm 50% trên 1 đêm, combo 0</t>
  </si>
  <si>
    <t>PERCENTAGE 50%, nights=1, combo=0</t>
  </si>
  <si>
    <t>discountAmount = 250000, totalAmount = 250000</t>
  </si>
  <si>
    <t>UT-138</t>
  </si>
  <si>
    <t>Giảm giá theo phần trăm 100% trên 1 đêm, combo 0</t>
  </si>
  <si>
    <t>PERCENTAGE 100%, nights=1, combo=0</t>
  </si>
  <si>
    <t>discountAmount = 500000, totalAmount = 0</t>
  </si>
  <si>
    <t>UT-139</t>
  </si>
  <si>
    <t>Giảm giá theo phần trăm 5% trên 3 đêm, combo 0</t>
  </si>
  <si>
    <t>PERCENTAGE 5%, nights=3, combo=0</t>
  </si>
  <si>
    <t>discountAmount = 75000, totalAmount = 1425000</t>
  </si>
  <si>
    <t>UT-140</t>
  </si>
  <si>
    <t>Giảm giá theo phần trăm 10% trên 3 đêm, combo 0</t>
  </si>
  <si>
    <t>PERCENTAGE 10%, nights=3, combo=0</t>
  </si>
  <si>
    <t>discountAmount = 150000, totalAmount = 1350000</t>
  </si>
  <si>
    <t>UT-141</t>
  </si>
  <si>
    <t>Giảm giá theo phần trăm 15% trên 3 đêm, combo 0</t>
  </si>
  <si>
    <t>PERCENTAGE 15%, nights=3, combo=0</t>
  </si>
  <si>
    <t>discountAmount = 225000, totalAmount = 1275000</t>
  </si>
  <si>
    <t>UT-142</t>
  </si>
  <si>
    <t>Giảm giá theo phần trăm 20% trên 3 đêm, combo 0</t>
  </si>
  <si>
    <t>PERCENTAGE 20%, nights=3, combo=0</t>
  </si>
  <si>
    <t>discountAmount = 300000, totalAmount = 1200000</t>
  </si>
  <si>
    <t>UT-143</t>
  </si>
  <si>
    <t>Giảm giá theo phần trăm 50% trên 3 đêm, combo 0</t>
  </si>
  <si>
    <t>PERCENTAGE 50%, nights=3, combo=0</t>
  </si>
  <si>
    <t>discountAmount = 750000, totalAmount = 750000</t>
  </si>
  <si>
    <t>UT-144</t>
  </si>
  <si>
    <t>Giảm giá theo phần trăm 100% trên 3 đêm, combo 0</t>
  </si>
  <si>
    <t>PERCENTAGE 100%, nights=3, combo=0</t>
  </si>
  <si>
    <t>discountAmount = 1500000, totalAmount = 0</t>
  </si>
  <si>
    <t>UT-145</t>
  </si>
  <si>
    <t>Giảm giá theo phần trăm 5% trên 2 đêm, combo 399000</t>
  </si>
  <si>
    <t>PERCENTAGE 5%, nights=2, combo=399000</t>
  </si>
  <si>
    <t>discountAmount = 69950, totalAmount = 1329050</t>
  </si>
  <si>
    <t>UT-146</t>
  </si>
  <si>
    <t>Giảm giá theo phần trăm 10% trên 2 đêm, combo 399000</t>
  </si>
  <si>
    <t>PERCENTAGE 10%, nights=2, combo=399000</t>
  </si>
  <si>
    <t>discountAmount = 139900, totalAmount = 1259100</t>
  </si>
  <si>
    <t>UT-147</t>
  </si>
  <si>
    <t>Giảm giá theo phần trăm 15% trên 2 đêm, combo 399000</t>
  </si>
  <si>
    <t>PERCENTAGE 15%, nights=2, combo=399000</t>
  </si>
  <si>
    <t>discountAmount = 209850, totalAmount = 1189150</t>
  </si>
  <si>
    <t>UT-148</t>
  </si>
  <si>
    <t>Giảm giá theo phần trăm 20% trên 2 đêm, combo 399000</t>
  </si>
  <si>
    <t>PERCENTAGE 20%, nights=2, combo=399000</t>
  </si>
  <si>
    <t>discountAmount = 279800, totalAmount = 1119200</t>
  </si>
  <si>
    <t>UT-149</t>
  </si>
  <si>
    <t>Giảm giá theo phần trăm 50% trên 2 đêm, combo 399000</t>
  </si>
  <si>
    <t>PERCENTAGE 50%, nights=2, combo=399000</t>
  </si>
  <si>
    <t>discountAmount = 699500, totalAmount = 699500</t>
  </si>
  <si>
    <t>UT-150</t>
  </si>
  <si>
    <t>Giảm giá theo phần trăm 100% trên 2 đêm, combo 399000</t>
  </si>
  <si>
    <t>PERCENTAGE 100%, nights=2, combo=399000</t>
  </si>
  <si>
    <t>discountAmount = 1399000, totalAmount = 0</t>
  </si>
  <si>
    <t>UT-151</t>
  </si>
  <si>
    <t>Nhân viên mở xem đơn - cờ đơn mới=true, cờ đổi giờ=false</t>
  </si>
  <si>
    <t>Mock đơn có cờ đơn mới / đổi giờ, nhân viên mở xem chi tiết (findByIdAndMarkSeenByStaff)</t>
  </si>
  <si>
    <t>newBooking=true, checkInTimeChanged=false</t>
  </si>
  <si>
    <t>Cả hai cờ về false; chỉ lưu DB khi có cờ bật</t>
  </si>
  <si>
    <t>BookingServiceParamTest::markSeen_clearsFlags</t>
  </si>
  <si>
    <t>UT-152</t>
  </si>
  <si>
    <t>Nhân viên mở xem đơn - cờ đơn mới=false, cờ đổi giờ=true</t>
  </si>
  <si>
    <t>newBooking=false, checkInTimeChanged=true</t>
  </si>
  <si>
    <t>UT-153</t>
  </si>
  <si>
    <t>Nhân viên mở xem đơn - cờ đơn mới=true, cờ đổi giờ=true</t>
  </si>
  <si>
    <t>newBooking=true, checkInTimeChanged=true</t>
  </si>
  <si>
    <t>UT-154</t>
  </si>
  <si>
    <t>Nhân viên mở xem đơn - cờ đơn mới=false, cờ đổi giờ=false</t>
  </si>
  <si>
    <t>newBooking=false, checkInTimeChanged=false</t>
  </si>
  <si>
    <t>UT-155</t>
  </si>
  <si>
    <t>Tìm đơn theo từ khóa</t>
  </si>
  <si>
    <t>Mock 3 đơn (Nguyễn Văn An/0912345678, Trần Thị Hoa/0768879223, Lê Minh Tuấn/0363175675), gọi findAllBookings(null, q)</t>
  </si>
  <si>
    <t>q="an"</t>
  </si>
  <si>
    <t>Tìm thấy 2 đơn</t>
  </si>
  <si>
    <t>BookingServiceParamTest::search_byNamePhoneEmail</t>
  </si>
  <si>
    <t>UT-156</t>
  </si>
  <si>
    <t>q="NGUYỄN"</t>
  </si>
  <si>
    <t>Tìm thấy 1 đơn</t>
  </si>
  <si>
    <t>UT-157</t>
  </si>
  <si>
    <t>q="trần thị"</t>
  </si>
  <si>
    <t>UT-158</t>
  </si>
  <si>
    <t>q="0912"</t>
  </si>
  <si>
    <t>UT-159</t>
  </si>
  <si>
    <t>q="0363175675"</t>
  </si>
  <si>
    <t>UT-160</t>
  </si>
  <si>
    <t>q="hoa@mail.com"</t>
  </si>
  <si>
    <t>UT-161</t>
  </si>
  <si>
    <t>q="@mail.com"</t>
  </si>
  <si>
    <t>Tìm thấy 3 đơn</t>
  </si>
  <si>
    <t>UT-162</t>
  </si>
  <si>
    <t>q="khongco"</t>
  </si>
  <si>
    <t>Tìm thấy 0 đơn</t>
  </si>
  <si>
    <t>UT-163</t>
  </si>
  <si>
    <t>q="  tuấn  "</t>
  </si>
  <si>
    <t>UT-164</t>
  </si>
  <si>
    <t>q=""</t>
  </si>
  <si>
    <t>UT-165</t>
  </si>
  <si>
    <t>Biểu đồ doanh thu - khoảng từ 2026-01-01 đến 2026-02-01</t>
  </si>
  <si>
    <t>Gọi getRevenueTrend(from, to) với khoảng dài hơn 31 ngày</t>
  </si>
  <si>
    <t>from=2026-01-01, to=2026-02-01</t>
  </si>
  <si>
    <t>Gom theo tháng, có 2 nhãn</t>
  </si>
  <si>
    <t>BookingServiceParamTest::revenueTrend_groupByMonth</t>
  </si>
  <si>
    <t>UT-166</t>
  </si>
  <si>
    <t>Biểu đồ doanh thu - khoảng từ 2026-01-01 đến 2026-03-31</t>
  </si>
  <si>
    <t>from=2026-01-01, to=2026-03-31</t>
  </si>
  <si>
    <t>Gom theo tháng, có 3 nhãn</t>
  </si>
  <si>
    <t>UT-167</t>
  </si>
  <si>
    <t>Biểu đồ doanh thu - khoảng từ 2026-01-15 đến 2026-06-15</t>
  </si>
  <si>
    <t>from=2026-01-15, to=2026-06-15</t>
  </si>
  <si>
    <t>Gom theo tháng, có 6 nhãn</t>
  </si>
  <si>
    <t>UT-168</t>
  </si>
  <si>
    <t>Biểu đồ doanh thu - khoảng từ 2025-01-01 đến 2025-12-31</t>
  </si>
  <si>
    <t>from=2025-01-01, to=2025-12-31</t>
  </si>
  <si>
    <t>Gom theo tháng, có 12 nhãn</t>
  </si>
  <si>
    <t>UT-169</t>
  </si>
  <si>
    <t>Giảm giá số tiền cố định 50000 VND trên 1 đêm</t>
  </si>
  <si>
    <t>Mock phòng 200.000/đêm, mã FIXED_AMOUNT x VND, gọi createBooking() N đêm</t>
  </si>
  <si>
    <t>FIXED_AMOUNT 50000, tạm tính 200000</t>
  </si>
  <si>
    <t>discountAmount = 50000 (không vượt tạm tính), totalAmount = 150000</t>
  </si>
  <si>
    <t>BookingServiceParamTest::discount_fixedAmountCappedAtSubtotal</t>
  </si>
  <si>
    <t>UT-170</t>
  </si>
  <si>
    <t>Giảm giá số tiền cố định 100000 VND trên 1 đêm</t>
  </si>
  <si>
    <t>FIXED_AMOUNT 100000, tạm tính 200000</t>
  </si>
  <si>
    <t>discountAmount = 100000 (không vượt tạm tính), totalAmount = 100000</t>
  </si>
  <si>
    <t>UT-171</t>
  </si>
  <si>
    <t>Giảm giá số tiền cố định 200000 VND trên 1 đêm</t>
  </si>
  <si>
    <t>FIXED_AMOUNT 200000, tạm tính 200000</t>
  </si>
  <si>
    <t>discountAmount = 200000 (không vượt tạm tính), totalAmount = 0</t>
  </si>
  <si>
    <t>UT-172</t>
  </si>
  <si>
    <t>Giảm giá số tiền cố định 500000 VND trên 1 đêm</t>
  </si>
  <si>
    <t>FIXED_AMOUNT 500000, tạm tính 200000</t>
  </si>
  <si>
    <t>UT-173</t>
  </si>
  <si>
    <t>Giảm giá số tiền cố định 50000 VND trên 3 đêm</t>
  </si>
  <si>
    <t>FIXED_AMOUNT 50000, tạm tính 600000</t>
  </si>
  <si>
    <t>discountAmount = 50000 (không vượt tạm tính), totalAmount = 550000</t>
  </si>
  <si>
    <t>UT-174</t>
  </si>
  <si>
    <t>Giảm giá số tiền cố định 100000 VND trên 3 đêm</t>
  </si>
  <si>
    <t>FIXED_AMOUNT 100000, tạm tính 600000</t>
  </si>
  <si>
    <t>discountAmount = 100000 (không vượt tạm tính), totalAmount = 500000</t>
  </si>
  <si>
    <t>UT-175</t>
  </si>
  <si>
    <t>Giảm giá số tiền cố định 500000 VND trên 3 đêm</t>
  </si>
  <si>
    <t>FIXED_AMOUNT 500000, tạm tính 600000</t>
  </si>
  <si>
    <t>discountAmount = 500000 (không vượt tạm tính), totalAmount = 100000</t>
  </si>
  <si>
    <t>UT-176</t>
  </si>
  <si>
    <t>Giảm giá số tiền cố định 5000000 VND trên 3 đêm</t>
  </si>
  <si>
    <t>FIXED_AMOUNT 5000000, tạm tính 600000</t>
  </si>
  <si>
    <t>discountAmount = 600000 (không vượt tạm tính), totalAmount = 0</t>
  </si>
  <si>
    <t>UT-177</t>
  </si>
  <si>
    <t>Giảm giá số tiền cố định 50000 VND trên 7 đêm</t>
  </si>
  <si>
    <t>FIXED_AMOUNT 50000, tạm tính 1400000</t>
  </si>
  <si>
    <t>discountAmount = 50000 (không vượt tạm tính), totalAmount = 1350000</t>
  </si>
  <si>
    <t>UT-178</t>
  </si>
  <si>
    <t>Giảm giá số tiền cố định 100000 VND trên 7 đêm</t>
  </si>
  <si>
    <t>FIXED_AMOUNT 100000, tạm tính 1400000</t>
  </si>
  <si>
    <t>discountAmount = 100000 (không vượt tạm tính), totalAmount = 1300000</t>
  </si>
  <si>
    <t>UT-179</t>
  </si>
  <si>
    <t>Giảm giá số tiền cố định 1000000 VND trên 7 đêm</t>
  </si>
  <si>
    <t>FIXED_AMOUNT 1000000, tạm tính 1400000</t>
  </si>
  <si>
    <t>discountAmount = 1000000 (không vượt tạm tính), totalAmount = 400000</t>
  </si>
  <si>
    <t>UT-180</t>
  </si>
  <si>
    <t>Giảm giá số tiền cố định 5000000 VND trên 7 đêm</t>
  </si>
  <si>
    <t>FIXED_AMOUNT 5000000, tạm tính 1400000</t>
  </si>
  <si>
    <t>discountAmount = 1400000 (không vượt tạm tính), totalAmount = 0</t>
  </si>
  <si>
    <t>UT-181</t>
  </si>
  <si>
    <t>Thiếu thông tin người nhận phòng - guestName</t>
  </si>
  <si>
    <t>Gọi createBooking() với thông tin người nhận phòng bị thiếu</t>
  </si>
  <si>
    <t>guestName=[null]</t>
  </si>
  <si>
    <t>Ném BusinessException, không lưu đơn</t>
  </si>
  <si>
    <t>BookingServiceParamTest::guestInfo_missing_throws</t>
  </si>
  <si>
    <t>UT-182</t>
  </si>
  <si>
    <t>guestName=[]</t>
  </si>
  <si>
    <t>UT-183</t>
  </si>
  <si>
    <t>guestName=[   ]</t>
  </si>
  <si>
    <t>UT-184</t>
  </si>
  <si>
    <t>Thiếu thông tin người nhận phòng - guestPhone</t>
  </si>
  <si>
    <t>guestPhone=[null]</t>
  </si>
  <si>
    <t>UT-185</t>
  </si>
  <si>
    <t>guestPhone=[]</t>
  </si>
  <si>
    <t>UT-186</t>
  </si>
  <si>
    <t>guestPhone=[  ]</t>
  </si>
  <si>
    <t>UT-187</t>
  </si>
  <si>
    <t>Thiếu thông tin người nhận phòng - guestEmail</t>
  </si>
  <si>
    <t>guestEmail=[null]</t>
  </si>
  <si>
    <t>UT-188</t>
  </si>
  <si>
    <t>guestEmail=[]</t>
  </si>
  <si>
    <t>UT-189</t>
  </si>
  <si>
    <t>guestEmail=[  ]</t>
  </si>
  <si>
    <t>UT-190</t>
  </si>
  <si>
    <t>Không nhập mã giảm giá</t>
  </si>
  <si>
    <t>Gọi createBooking() với mã giảm giá rỗng</t>
  </si>
  <si>
    <t>discountCode=[null]</t>
  </si>
  <si>
    <t>Không tra cứu mã, discountAmount = 0</t>
  </si>
  <si>
    <t>BookingServiceParamTest::discount_blankCode_ignored</t>
  </si>
  <si>
    <t>UT-191</t>
  </si>
  <si>
    <t>discountCode=[]</t>
  </si>
  <si>
    <t>UT-192</t>
  </si>
  <si>
    <t>discountCode=[   ]</t>
  </si>
  <si>
    <t>UT-193</t>
  </si>
  <si>
    <t>Ngày trả không sau ngày nhận</t>
  </si>
  <si>
    <t>Gọi createBooking() với ngày nhận = hôm nay + a, ngày trả = hôm nay + b</t>
  </si>
  <si>
    <t>checkIn=hôm nay+3, checkOut=hôm nay+3</t>
  </si>
  <si>
    <t>BookingServiceParamTest::dates_checkoutNotAfterCheckin_throws</t>
  </si>
  <si>
    <t>UT-194</t>
  </si>
  <si>
    <t>checkIn=hôm nay+5, checkOut=hôm nay+4</t>
  </si>
  <si>
    <t>UT-195</t>
  </si>
  <si>
    <t>checkIn=hôm nay+10, checkOut=hôm nay+1</t>
  </si>
  <si>
    <t>UT-196</t>
  </si>
  <si>
    <t>checkIn=hôm nay+30, checkOut=hôm nay+29</t>
  </si>
  <si>
    <t>UT-197</t>
  </si>
  <si>
    <t>Khách tự hủy đơn khi đơn đang PENDING</t>
  </si>
  <si>
    <t>Mock đơn của chính khách ở trạng thái S, khách gọi cancelBooking()</t>
  </si>
  <si>
    <t>BookingServiceParamTest::stateMachine_cancelByCustomer</t>
  </si>
  <si>
    <t>UT-198</t>
  </si>
  <si>
    <t>Khách tự hủy đơn khi đơn đang CONFIRMED</t>
  </si>
  <si>
    <t>UT-199</t>
  </si>
  <si>
    <t>Khách tự hủy đơn khi đơn đang CHECKED_IN</t>
  </si>
  <si>
    <t>UT-200</t>
  </si>
  <si>
    <t>Khách tự hủy đơn khi đơn đang CHECKED_OUT</t>
  </si>
  <si>
    <t>UT-201</t>
  </si>
  <si>
    <t>Khách tự hủy đơn khi đơn đang CANCELLED</t>
  </si>
  <si>
    <t>UT-202</t>
  </si>
  <si>
    <t>Ngày nhận phòng ở quá khứ</t>
  </si>
  <si>
    <t>Gọi createBooking() với ngày nhận phòng trong quá khứ</t>
  </si>
  <si>
    <t>Ném BusinessException "không được ở trong quá khứ"</t>
  </si>
  <si>
    <t>BookingServiceParamTest::dates_checkinInPast_throws</t>
  </si>
  <si>
    <t>UT-203</t>
  </si>
  <si>
    <t>checkIn = hôm nay - 2 ngày</t>
  </si>
  <si>
    <t>UT-204</t>
  </si>
  <si>
    <t>checkIn = hôm nay - 7 ngày</t>
  </si>
  <si>
    <t>UT-205</t>
  </si>
  <si>
    <t>checkIn = hôm nay - 30 ngày</t>
  </si>
  <si>
    <t>UT-206</t>
  </si>
  <si>
    <t>checkIn = hôm nay - 365 ngày</t>
  </si>
  <si>
    <t>UT-207</t>
  </si>
  <si>
    <t>Thiếu giờ nhận/trả phòng</t>
  </si>
  <si>
    <t>Gọi createBooking() thiếu giờ nhận hoặc giờ trả phòng</t>
  </si>
  <si>
    <t>thiếu checkInTime</t>
  </si>
  <si>
    <t>Ném BusinessException "Vui lòng chọn đầy đủ giờ"</t>
  </si>
  <si>
    <t>BookingServiceParamTest::times_missing_throws</t>
  </si>
  <si>
    <t>UT-208</t>
  </si>
  <si>
    <t>thiếu checkOutTime</t>
  </si>
  <si>
    <t>UT-209</t>
  </si>
  <si>
    <t>Phòng vừa bị người khác đặt trùng lịch</t>
  </si>
  <si>
    <t>Mock existsOverlappingBooking=true, gọi createBooking() với số đêm N</t>
  </si>
  <si>
    <t>trùng lịch, 1 đêm</t>
  </si>
  <si>
    <t>Ném BusinessException "vừa được người khác đặt", không lưu, không gửi email</t>
  </si>
  <si>
    <t>BookingServiceParamTest::overlap_throwsAndDoesNotSave</t>
  </si>
  <si>
    <t>UT-210</t>
  </si>
  <si>
    <t>trùng lịch, 3 đêm</t>
  </si>
  <si>
    <t>UT-211</t>
  </si>
  <si>
    <t>trùng lịch, 7 đêm</t>
  </si>
  <si>
    <t>UT-212</t>
  </si>
  <si>
    <t>Đặt phòng khi phòng ở trạng thái AVAILABLE</t>
  </si>
  <si>
    <t>Mock phòng ở trạng thái S, gọi createBooking()</t>
  </si>
  <si>
    <t>room.status=AVAILABLE</t>
  </si>
  <si>
    <t>Chỉ trạng thái MAINTENANCE bị chặn</t>
  </si>
  <si>
    <t>BookingServiceParamTest::roomStatus_onlyMaintenanceBlocked</t>
  </si>
  <si>
    <t>UT-213</t>
  </si>
  <si>
    <t>Đặt phòng khi phòng ở trạng thái BOOKED</t>
  </si>
  <si>
    <t>room.status=BOOKED</t>
  </si>
  <si>
    <t>UT-214</t>
  </si>
  <si>
    <t>Đặt phòng khi phòng ở trạng thái OCCUPIED</t>
  </si>
  <si>
    <t>room.status=OCCUPIED</t>
  </si>
  <si>
    <t>UT-215</t>
  </si>
  <si>
    <t>Đặt phòng khi phòng ở trạng thái MAINTENANCE</t>
  </si>
  <si>
    <t>UT-216</t>
  </si>
  <si>
    <t>Đặt phòng khi phòng ở trạng thái NOT_READY</t>
  </si>
  <si>
    <t>room.status=NOT_READY</t>
  </si>
  <si>
    <t>UT-217</t>
  </si>
  <si>
    <t>Khách đổi giờ nhận/trả, còn 60 phút</t>
  </si>
  <si>
    <t>Mock đơn PENDING còn M phút tới giờ nhận, khách gọi updateTimes() đổi giờ 15:00/11:00</t>
  </si>
  <si>
    <t>status=PENDING, còn 60 phút</t>
  </si>
  <si>
    <t>Thành công = false; thành công thì bật cờ "Khách đổi giờ nhận phòng"</t>
  </si>
  <si>
    <t>BookingServiceParamTest::updateTimes_respectsCutoff</t>
  </si>
  <si>
    <t>UT-218</t>
  </si>
  <si>
    <t>Khách đổi giờ nhận/trả, còn 300 phút</t>
  </si>
  <si>
    <t>status=PENDING, còn 300 phút</t>
  </si>
  <si>
    <t>UT-219</t>
  </si>
  <si>
    <t>Khách đổi giờ nhận/trả, còn 420 phút</t>
  </si>
  <si>
    <t>status=PENDING, còn 420 phút</t>
  </si>
  <si>
    <t>Thành công = true; thành công thì bật cờ "Khách đổi giờ nhận phòng"</t>
  </si>
  <si>
    <t>UT-220</t>
  </si>
  <si>
    <t>Khách đổi giờ nhận/trả, còn 1440 phút</t>
  </si>
  <si>
    <t>status=PENDING, còn 1440 phút</t>
  </si>
  <si>
    <t>UT-221</t>
  </si>
  <si>
    <t>Khách đổi giờ nhận/trả, còn 2880 phút</t>
  </si>
  <si>
    <t>status=PENDING, còn 2880 phút</t>
  </si>
  <si>
    <t>UT-222</t>
  </si>
  <si>
    <t>Mã giảm giá không tồn tại / đã tắt</t>
  </si>
  <si>
    <t>Repository không tìm thấy mã đang hoạt động, gọi createBooking() với mã đó</t>
  </si>
  <si>
    <t>discountCode="KHONGCO"</t>
  </si>
  <si>
    <t>Ném BusinessException "không tồn tại hoặc đã ngừng áp dụng"</t>
  </si>
  <si>
    <t>BookingServiceParamTest::discount_unknownOrInactive_throws</t>
  </si>
  <si>
    <t>UT-223</t>
  </si>
  <si>
    <t>discountCode="NEWBIE2026"</t>
  </si>
  <si>
    <t>UT-224</t>
  </si>
  <si>
    <t>discountCode="HETHAN"</t>
  </si>
  <si>
    <t>UT-225</t>
  </si>
  <si>
    <t>discountCode="123"</t>
  </si>
  <si>
    <t>UT-226</t>
  </si>
  <si>
    <t>Đặt phòng nhận ngay trong ngày</t>
  </si>
  <si>
    <t>Gọi createBooking() với ngày nhận phòng là hôm nay</t>
  </si>
  <si>
    <t>checkIn = hôm nay, 1 đêm</t>
  </si>
  <si>
    <t>Tạo đơn thành công, trạng thái PENDING</t>
  </si>
  <si>
    <t>BookingServiceParamTest::dates_checkinToday_allowed</t>
  </si>
  <si>
    <t>UT-227</t>
  </si>
  <si>
    <t>checkIn = hôm nay, 2 đêm</t>
  </si>
  <si>
    <t>UT-228</t>
  </si>
  <si>
    <t>Cho phép sửa đơn PENDING, còn -60 phút tới giờ nhận phòng</t>
  </si>
  <si>
    <t>Tạo đơn trạng thái S có giờ nhận phòng cách hiện tại M phút, gọi canModify()</t>
  </si>
  <si>
    <t>status=PENDING, còn -60 phút</t>
  </si>
  <si>
    <t>canModify = false</t>
  </si>
  <si>
    <t>BookingServiceParamTest::canModify_sixHourRule</t>
  </si>
  <si>
    <t>UT-229</t>
  </si>
  <si>
    <t>Cho phép sửa đơn PENDING, còn 60 phút tới giờ nhận phòng</t>
  </si>
  <si>
    <t>UT-230</t>
  </si>
  <si>
    <t>Cho phép sửa đơn PENDING, còn 300 phút tới giờ nhận phòng</t>
  </si>
  <si>
    <t>UT-231</t>
  </si>
  <si>
    <t>Cho phép sửa đơn PENDING, còn 355 phút tới giờ nhận phòng</t>
  </si>
  <si>
    <t>status=PENDING, còn 355 phút</t>
  </si>
  <si>
    <t>UT-232</t>
  </si>
  <si>
    <t>Cho phép sửa đơn PENDING, còn 365 phút tới giờ nhận phòng</t>
  </si>
  <si>
    <t>status=PENDING, còn 365 phút</t>
  </si>
  <si>
    <t>canModify = true</t>
  </si>
  <si>
    <t>UT-233</t>
  </si>
  <si>
    <t>Cho phép sửa đơn PENDING, còn 1440 phút tới giờ nhận phòng</t>
  </si>
  <si>
    <t>UT-234</t>
  </si>
  <si>
    <t>Cho phép sửa đơn PENDING, còn 4320 phút tới giờ nhận phòng</t>
  </si>
  <si>
    <t>status=PENDING, còn 4320 phút</t>
  </si>
  <si>
    <t>UT-235</t>
  </si>
  <si>
    <t>Cho phép sửa đơn CONFIRMED, còn -60 phút tới giờ nhận phòng</t>
  </si>
  <si>
    <t>status=CONFIRMED, còn -60 phút</t>
  </si>
  <si>
    <t>UT-236</t>
  </si>
  <si>
    <t>Cho phép sửa đơn CONFIRMED, còn 60 phút tới giờ nhận phòng</t>
  </si>
  <si>
    <t>status=CONFIRMED, còn 60 phút</t>
  </si>
  <si>
    <t>UT-237</t>
  </si>
  <si>
    <t>Cho phép sửa đơn CONFIRMED, còn 300 phút tới giờ nhận phòng</t>
  </si>
  <si>
    <t>status=CONFIRMED, còn 300 phút</t>
  </si>
  <si>
    <t>UT-238</t>
  </si>
  <si>
    <t>Cho phép sửa đơn CONFIRMED, còn 355 phút tới giờ nhận phòng</t>
  </si>
  <si>
    <t>status=CONFIRMED, còn 355 phút</t>
  </si>
  <si>
    <t>UT-239</t>
  </si>
  <si>
    <t>Cho phép sửa đơn CONFIRMED, còn 365 phút tới giờ nhận phòng</t>
  </si>
  <si>
    <t>status=CONFIRMED, còn 365 phút</t>
  </si>
  <si>
    <t>UT-240</t>
  </si>
  <si>
    <t>Cho phép sửa đơn CONFIRMED, còn 1440 phút tới giờ nhận phòng</t>
  </si>
  <si>
    <t>status=CONFIRMED, còn 1440 phút</t>
  </si>
  <si>
    <t>UT-241</t>
  </si>
  <si>
    <t>Cho phép sửa đơn CONFIRMED, còn 4320 phút tới giờ nhận phòng</t>
  </si>
  <si>
    <t>status=CONFIRMED, còn 4320 phút</t>
  </si>
  <si>
    <t>UT-242</t>
  </si>
  <si>
    <t>Cho phép sửa đơn CHECKED_IN, còn 365 phút tới giờ nhận phòng</t>
  </si>
  <si>
    <t>status=CHECKED_IN, còn 365 phút</t>
  </si>
  <si>
    <t>UT-243</t>
  </si>
  <si>
    <t>Cho phép sửa đơn CHECKED_IN, còn 1440 phút tới giờ nhận phòng</t>
  </si>
  <si>
    <t>status=CHECKED_IN, còn 1440 phút</t>
  </si>
  <si>
    <t>UT-244</t>
  </si>
  <si>
    <t>Cho phép sửa đơn CHECKED_IN, còn 4320 phút tới giờ nhận phòng</t>
  </si>
  <si>
    <t>status=CHECKED_IN, còn 4320 phút</t>
  </si>
  <si>
    <t>UT-245</t>
  </si>
  <si>
    <t>Cho phép sửa đơn CHECKED_OUT, còn 365 phút tới giờ nhận phòng</t>
  </si>
  <si>
    <t>status=CHECKED_OUT, còn 365 phút</t>
  </si>
  <si>
    <t>UT-246</t>
  </si>
  <si>
    <t>Cho phép sửa đơn CHECKED_OUT, còn 1440 phút tới giờ nhận phòng</t>
  </si>
  <si>
    <t>status=CHECKED_OUT, còn 1440 phút</t>
  </si>
  <si>
    <t>UT-247</t>
  </si>
  <si>
    <t>Cho phép sửa đơn CHECKED_OUT, còn 4320 phút tới giờ nhận phòng</t>
  </si>
  <si>
    <t>status=CHECKED_OUT, còn 4320 phút</t>
  </si>
  <si>
    <t>UT-248</t>
  </si>
  <si>
    <t>Cho phép sửa đơn CANCELLED, còn 365 phút tới giờ nhận phòng</t>
  </si>
  <si>
    <t>status=CANCELLED, còn 365 phút</t>
  </si>
  <si>
    <t>UT-249</t>
  </si>
  <si>
    <t>Cho phép sửa đơn CANCELLED, còn 1440 phút tới giờ nhận phòng</t>
  </si>
  <si>
    <t>status=CANCELLED, còn 1440 phút</t>
  </si>
  <si>
    <t>UT-250</t>
  </si>
  <si>
    <t>Cho phép sửa đơn CANCELLED, còn 4320 phút tới giờ nhận phòng</t>
  </si>
  <si>
    <t>status=CANCELLED, còn 4320 phút</t>
  </si>
  <si>
    <t>UT-251</t>
  </si>
  <si>
    <t>Mã dành cho [ALL] - khách loại NEW</t>
  </si>
  <si>
    <t>Mock mã giảm giá áp dụng cho loại khách A, khách đặt có loại B, gọi createBooking() với mã đó</t>
  </si>
  <si>
    <t>applicableCustomerType=ALL, customerType=NEW</t>
  </si>
  <si>
    <t>Được áp dụng = true</t>
  </si>
  <si>
    <t>BookingServiceParamTest::discount_applicableCustomerType</t>
  </si>
  <si>
    <t>UT-252</t>
  </si>
  <si>
    <t>Mã dành cho [ALL] - khách loại REGULAR</t>
  </si>
  <si>
    <t>applicableCustomerType=ALL, customerType=REGULAR</t>
  </si>
  <si>
    <t>UT-253</t>
  </si>
  <si>
    <t>Mã dành cho [ALL] - khách loại VIP</t>
  </si>
  <si>
    <t>applicableCustomerType=ALL, customerType=VIP</t>
  </si>
  <si>
    <t>UT-254</t>
  </si>
  <si>
    <t>Mã dành cho [NEW] - khách loại NEW</t>
  </si>
  <si>
    <t>applicableCustomerType=NEW, customerType=NEW</t>
  </si>
  <si>
    <t>UT-255</t>
  </si>
  <si>
    <t>Mã dành cho [NEW] - khách loại REGULAR</t>
  </si>
  <si>
    <t>applicableCustomerType=NEW, customerType=REGULAR</t>
  </si>
  <si>
    <t>Được áp dụng = false</t>
  </si>
  <si>
    <t>UT-256</t>
  </si>
  <si>
    <t>Mã dành cho [NEW] - khách loại VIP</t>
  </si>
  <si>
    <t>applicableCustomerType=NEW, customerType=VIP</t>
  </si>
  <si>
    <t>UT-257</t>
  </si>
  <si>
    <t>Mã dành cho [REGULAR] - khách loại NEW</t>
  </si>
  <si>
    <t>applicableCustomerType=REGULAR, customerType=NEW</t>
  </si>
  <si>
    <t>UT-258</t>
  </si>
  <si>
    <t>Mã dành cho [REGULAR] - khách loại REGULAR</t>
  </si>
  <si>
    <t>applicableCustomerType=REGULAR, customerType=REGULAR</t>
  </si>
  <si>
    <t>UT-259</t>
  </si>
  <si>
    <t>Mã dành cho [REGULAR] - khách loại VIP</t>
  </si>
  <si>
    <t>applicableCustomerType=REGULAR, customerType=VIP</t>
  </si>
  <si>
    <t>UT-260</t>
  </si>
  <si>
    <t>Mã dành cho [VIP] - khách loại NEW</t>
  </si>
  <si>
    <t>applicableCustomerType=VIP, customerType=NEW</t>
  </si>
  <si>
    <t>UT-261</t>
  </si>
  <si>
    <t>Mã dành cho [VIP] - khách loại REGULAR</t>
  </si>
  <si>
    <t>applicableCustomerType=VIP, customerType=REGULAR</t>
  </si>
  <si>
    <t>UT-262</t>
  </si>
  <si>
    <t>Mã dành cho [VIP] - khách loại VIP</t>
  </si>
  <si>
    <t>applicableCustomerType=VIP, customerType=VIP</t>
  </si>
  <si>
    <t>UT-263</t>
  </si>
  <si>
    <t>Đổi combo: 1 đêm, combo mới 0, mã NONE</t>
  </si>
  <si>
    <t>Mock đơn PENDING 500.000/đêm × N đêm (còn 3 ngày), mã giảm D, khách gọi updateCombo() sang combo C</t>
  </si>
  <si>
    <t>nights=1, combo=0, discount=NONE</t>
  </si>
  <si>
    <t>discountAmount = 0, totalAmount = 500000</t>
  </si>
  <si>
    <t>BookingServiceParamTest::updateCombo_recalculates</t>
  </si>
  <si>
    <t>UT-264</t>
  </si>
  <si>
    <t>Đổi combo: 1 đêm, combo mới 199000, mã NONE</t>
  </si>
  <si>
    <t>nights=1, combo=199000, discount=NONE</t>
  </si>
  <si>
    <t>discountAmount = 0, totalAmount = 699000</t>
  </si>
  <si>
    <t>UT-265</t>
  </si>
  <si>
    <t>Đổi combo: 1 đêm, combo mới 399000, mã NONE</t>
  </si>
  <si>
    <t>nights=1, combo=399000, discount=NONE</t>
  </si>
  <si>
    <t>discountAmount = 0, totalAmount = 899000</t>
  </si>
  <si>
    <t>UT-266</t>
  </si>
  <si>
    <t>Đổi combo: 1 đêm, combo mới 0, mã P10</t>
  </si>
  <si>
    <t>nights=1, combo=0, discount=P10</t>
  </si>
  <si>
    <t>UT-267</t>
  </si>
  <si>
    <t>Đổi combo: 1 đêm, combo mới 199000, mã P10</t>
  </si>
  <si>
    <t>nights=1, combo=199000, discount=P10</t>
  </si>
  <si>
    <t>discountAmount = 69900, totalAmount = 629100</t>
  </si>
  <si>
    <t>UT-268</t>
  </si>
  <si>
    <t>Đổi combo: 1 đêm, combo mới 399000, mã P10</t>
  </si>
  <si>
    <t>nights=1, combo=399000, discount=P10</t>
  </si>
  <si>
    <t>discountAmount = 89900, totalAmount = 809100</t>
  </si>
  <si>
    <t>UT-269</t>
  </si>
  <si>
    <t>Đổi combo: 1 đêm, combo mới 0, mã F100K</t>
  </si>
  <si>
    <t>nights=1, combo=0, discount=F100K</t>
  </si>
  <si>
    <t>UT-270</t>
  </si>
  <si>
    <t>Đổi combo: 1 đêm, combo mới 199000, mã F100K</t>
  </si>
  <si>
    <t>nights=1, combo=199000, discount=F100K</t>
  </si>
  <si>
    <t>discountAmount = 100000, totalAmount = 599000</t>
  </si>
  <si>
    <t>UT-271</t>
  </si>
  <si>
    <t>Đổi combo: 1 đêm, combo mới 399000, mã F100K</t>
  </si>
  <si>
    <t>nights=1, combo=399000, discount=F100K</t>
  </si>
  <si>
    <t>discountAmount = 100000, totalAmount = 799000</t>
  </si>
  <si>
    <t>UT-272</t>
  </si>
  <si>
    <t>Đổi combo: 3 đêm, combo mới 0, mã NONE</t>
  </si>
  <si>
    <t>nights=3, combo=0, discount=NONE</t>
  </si>
  <si>
    <t>discountAmount = 0, totalAmount = 1500000</t>
  </si>
  <si>
    <t>UT-273</t>
  </si>
  <si>
    <t>Đổi combo: 3 đêm, combo mới 199000, mã NONE</t>
  </si>
  <si>
    <t>nights=3, combo=199000, discount=NONE</t>
  </si>
  <si>
    <t>discountAmount = 0, totalAmount = 1699000</t>
  </si>
  <si>
    <t>UT-274</t>
  </si>
  <si>
    <t>Đổi combo: 3 đêm, combo mới 399000, mã NONE</t>
  </si>
  <si>
    <t>nights=3, combo=399000, discount=NONE</t>
  </si>
  <si>
    <t>discountAmount = 0, totalAmount = 1899000</t>
  </si>
  <si>
    <t>UT-275</t>
  </si>
  <si>
    <t>Đổi combo: 3 đêm, combo mới 0, mã P10</t>
  </si>
  <si>
    <t>nights=3, combo=0, discount=P10</t>
  </si>
  <si>
    <t>UT-276</t>
  </si>
  <si>
    <t>Đổi combo: 3 đêm, combo mới 199000, mã P10</t>
  </si>
  <si>
    <t>nights=3, combo=199000, discount=P10</t>
  </si>
  <si>
    <t>discountAmount = 169900, totalAmount = 1529100</t>
  </si>
  <si>
    <t>UT-277</t>
  </si>
  <si>
    <t>Đổi combo: 3 đêm, combo mới 399000, mã P10</t>
  </si>
  <si>
    <t>nights=3, combo=399000, discount=P10</t>
  </si>
  <si>
    <t>discountAmount = 189900, totalAmount = 1709100</t>
  </si>
  <si>
    <t>UT-278</t>
  </si>
  <si>
    <t>Đổi combo: 3 đêm, combo mới 0, mã F100K</t>
  </si>
  <si>
    <t>nights=3, combo=0, discount=F100K</t>
  </si>
  <si>
    <t>discountAmount = 100000, totalAmount = 1400000</t>
  </si>
  <si>
    <t>UT-279</t>
  </si>
  <si>
    <t>Đổi combo: 3 đêm, combo mới 199000, mã F100K</t>
  </si>
  <si>
    <t>nights=3, combo=199000, discount=F100K</t>
  </si>
  <si>
    <t>discountAmount = 100000, totalAmount = 1599000</t>
  </si>
  <si>
    <t>UT-280</t>
  </si>
  <si>
    <t>Đổi combo: 3 đêm, combo mới 399000, mã F100K</t>
  </si>
  <si>
    <t>nights=3, combo=399000, discount=F100K</t>
  </si>
  <si>
    <t>discountAmount = 100000, totalAmount = 1799000</t>
  </si>
  <si>
    <t>UT-281</t>
  </si>
  <si>
    <t>Số khách mặc định khi không hợp lệ</t>
  </si>
  <si>
    <t>Gọi createBooking() với số khách theo bộ dữ liệu</t>
  </si>
  <si>
    <t>numberOfGuests lưu = 1</t>
  </si>
  <si>
    <t>BookingServiceParamTest::guests_defaultToOne</t>
  </si>
  <si>
    <t>UT-282</t>
  </si>
  <si>
    <t>guests=0</t>
  </si>
  <si>
    <t>UT-283</t>
  </si>
  <si>
    <t>guests=-1</t>
  </si>
  <si>
    <t>UT-284</t>
  </si>
  <si>
    <t>guests=1</t>
  </si>
  <si>
    <t>UT-285</t>
  </si>
  <si>
    <t>guests=2</t>
  </si>
  <si>
    <t>numberOfGuests lưu = 2</t>
  </si>
  <si>
    <t>UT-286</t>
  </si>
  <si>
    <t>guests=3</t>
  </si>
  <si>
    <t>numberOfGuests lưu = 3</t>
  </si>
  <si>
    <t>UT-287</t>
  </si>
  <si>
    <t>Đếm đơn theo trạng thái - đơn tạo ngày 2026-02-28</t>
  </si>
  <si>
    <t>Mock đơn tạo ngày X, gọi getBookingStatusCounts(01/03/2026, 31/03/2026)</t>
  </si>
  <si>
    <t>createdAt=2026-02-28, lọc 01/03..31/03/2026</t>
  </si>
  <si>
    <t>Được đếm = false</t>
  </si>
  <si>
    <t>BookingServiceParamTest::statusCounts_rangeInclusive</t>
  </si>
  <si>
    <t>UT-288</t>
  </si>
  <si>
    <t>Đếm đơn theo trạng thái - đơn tạo ngày 2026-03-01</t>
  </si>
  <si>
    <t>createdAt=2026-03-01, lọc 01/03..31/03/2026</t>
  </si>
  <si>
    <t>Được đếm = true</t>
  </si>
  <si>
    <t>UT-289</t>
  </si>
  <si>
    <t>Đếm đơn theo trạng thái - đơn tạo ngày 2026-03-15</t>
  </si>
  <si>
    <t>createdAt=2026-03-15, lọc 01/03..31/03/2026</t>
  </si>
  <si>
    <t>UT-290</t>
  </si>
  <si>
    <t>Đếm đơn theo trạng thái - đơn tạo ngày 2026-03-31</t>
  </si>
  <si>
    <t>createdAt=2026-03-31, lọc 01/03..31/03/2026</t>
  </si>
  <si>
    <t>UT-291</t>
  </si>
  <si>
    <t>Đếm đơn theo trạng thái - đơn tạo ngày 2026-04-01</t>
  </si>
  <si>
    <t>createdAt=2026-04-01, lọc 01/03..31/03/2026</t>
  </si>
  <si>
    <t>UT-292</t>
  </si>
  <si>
    <t>Chuẩn hóa mã giảm giá khách nhập</t>
  </si>
  <si>
    <t>Mock mã WELCOME10 đang hoạt động, khách nhập mã với chữ thường/khoảng trắng, gọi createBooking()</t>
  </si>
  <si>
    <t>discountCode="WELCOME10"</t>
  </si>
  <si>
    <t>Được hiểu là WELCOME10 và giảm 10%</t>
  </si>
  <si>
    <t>BookingServiceParamTest::discount_codeNormalized</t>
  </si>
  <si>
    <t>UT-293</t>
  </si>
  <si>
    <t>discountCode="welcome10"</t>
  </si>
  <si>
    <t>UT-294</t>
  </si>
  <si>
    <t>discountCode="Welcome10"</t>
  </si>
  <si>
    <t>UT-295</t>
  </si>
  <si>
    <t>discountCode="  WELCOME10  "</t>
  </si>
  <si>
    <t>UT-296</t>
  </si>
  <si>
    <t>discountCode="wElCoMe10 "</t>
  </si>
  <si>
    <t>UT-297</t>
  </si>
  <si>
    <t>Khách khác thao tác trên đơn không phải của mình - xem đơn</t>
  </si>
  <si>
    <t>Mock đơn thuộc khách id=1, khách khác (id=X) thao tác trên đơn</t>
  </si>
  <si>
    <t>customerId=2</t>
  </si>
  <si>
    <t>Ném BusinessException "không có quyền"</t>
  </si>
  <si>
    <t>BookingServiceParamTest::ownership_enforced</t>
  </si>
  <si>
    <t>UT-298</t>
  </si>
  <si>
    <t>Khách khác thao tác trên đơn không phải của mình - hủy đơn</t>
  </si>
  <si>
    <t>UT-299</t>
  </si>
  <si>
    <t>Khách khác thao tác trên đơn không phải của mình - đổi giờ</t>
  </si>
  <si>
    <t>UT-300</t>
  </si>
  <si>
    <t>Khách khác thao tác trên đơn không phải của mình - đổi combo</t>
  </si>
  <si>
    <t>UT-301</t>
  </si>
  <si>
    <t>Doanh thu theo loại phòng khi có đơn PENDING</t>
  </si>
  <si>
    <t>Mock 3 đơn (một đơn có trạng thái S) cùng loại phòng, gọi getRevenueByRoomType()</t>
  </si>
  <si>
    <t>2 đơn × 500.000 + 1 đơn PENDING 300.000</t>
  </si>
  <si>
    <t>Tổng = 1300000 (đơn hủy không tính)</t>
  </si>
  <si>
    <t>BookingServiceParamTest::revenueByRoomType_excludesCancelled</t>
  </si>
  <si>
    <t>UT-302</t>
  </si>
  <si>
    <t>Doanh thu theo loại phòng khi có đơn CONFIRMED</t>
  </si>
  <si>
    <t>2 đơn × 500.000 + 1 đơn CONFIRMED 300.000</t>
  </si>
  <si>
    <t>UT-303</t>
  </si>
  <si>
    <t>Doanh thu theo loại phòng khi có đơn CHECKED_IN</t>
  </si>
  <si>
    <t>2 đơn × 500.000 + 1 đơn CHECKED_IN 300.000</t>
  </si>
  <si>
    <t>UT-304</t>
  </si>
  <si>
    <t>Doanh thu theo loại phòng khi có đơn CHECKED_OUT</t>
  </si>
  <si>
    <t>2 đơn × 500.000 + 1 đơn CHECKED_OUT 300.000</t>
  </si>
  <si>
    <t>UT-305</t>
  </si>
  <si>
    <t>Doanh thu theo loại phòng khi có đơn CANCELLED</t>
  </si>
  <si>
    <t>2 đơn × 500.000 + 1 đơn CANCELLED 300.000</t>
  </si>
  <si>
    <t>Tổng = 1000000 (đơn hủy không tính)</t>
  </si>
  <si>
    <t>UT-306</t>
  </si>
  <si>
    <t>Thiếu ngày lưu trú</t>
  </si>
  <si>
    <t>Gọi createBooking() thiếu ngày nhận hoặc ngày trả</t>
  </si>
  <si>
    <t>thiếu checkInDate</t>
  </si>
  <si>
    <t>Ném BusinessException "Vui lòng chọn đầy đủ ngày"</t>
  </si>
  <si>
    <t>BookingServiceParamTest::dates_missing_throws</t>
  </si>
  <si>
    <t>UT-307</t>
  </si>
  <si>
    <t>thiếu checkOutDate</t>
  </si>
  <si>
    <t>UT-308</t>
  </si>
  <si>
    <t>thiếu cả hai ngày</t>
  </si>
  <si>
    <t>UT-309</t>
  </si>
  <si>
    <t>Lọc danh sách đơn theo trạng thái PENDING</t>
  </si>
  <si>
    <t>Mock 5 đơn, mỗi trạng thái 1 đơn, gọi findAllBookings(status)</t>
  </si>
  <si>
    <t>statusFilter=PENDING</t>
  </si>
  <si>
    <t>Trả về đúng 1 đơn có trạng thái PENDING</t>
  </si>
  <si>
    <t>BookingServiceParamTest::filter_byStatus</t>
  </si>
  <si>
    <t>UT-310</t>
  </si>
  <si>
    <t>Lọc danh sách đơn theo trạng thái CONFIRMED</t>
  </si>
  <si>
    <t>statusFilter=CONFIRMED</t>
  </si>
  <si>
    <t>Trả về đúng 1 đơn có trạng thái CONFIRMED</t>
  </si>
  <si>
    <t>UT-311</t>
  </si>
  <si>
    <t>Lọc danh sách đơn theo trạng thái CHECKED_IN</t>
  </si>
  <si>
    <t>statusFilter=CHECKED_IN</t>
  </si>
  <si>
    <t>Trả về đúng 1 đơn có trạng thái CHECKED_IN</t>
  </si>
  <si>
    <t>UT-312</t>
  </si>
  <si>
    <t>Lọc danh sách đơn theo trạng thái CHECKED_OUT</t>
  </si>
  <si>
    <t>statusFilter=CHECKED_OUT</t>
  </si>
  <si>
    <t>Trả về đúng 1 đơn có trạng thái CHECKED_OUT</t>
  </si>
  <si>
    <t>UT-313</t>
  </si>
  <si>
    <t>Lọc danh sách đơn theo trạng thái CANCELLED</t>
  </si>
  <si>
    <t>statusFilter=CANCELLED</t>
  </si>
  <si>
    <t>Trả về đúng 1 đơn có trạng thái CANCELLED</t>
  </si>
  <si>
    <t>UT-314</t>
  </si>
  <si>
    <t>Check-out khi đơn đang PENDING</t>
  </si>
  <si>
    <t>Mock đơn ở trạng thái S, nhân viên gọi checkOut()</t>
  </si>
  <si>
    <t>Chỉ CHECKED_IN → CHECKED_OUT và phòng → NOT_READY</t>
  </si>
  <si>
    <t>BookingServiceParamTest::stateMachine_checkOut</t>
  </si>
  <si>
    <t>UT-315</t>
  </si>
  <si>
    <t>Check-out khi đơn đang CONFIRMED</t>
  </si>
  <si>
    <t>UT-316</t>
  </si>
  <si>
    <t>Check-out khi đơn đang CHECKED_IN</t>
  </si>
  <si>
    <t>UT-317</t>
  </si>
  <si>
    <t>Check-out khi đơn đang CHECKED_OUT</t>
  </si>
  <si>
    <t>UT-318</t>
  </si>
  <si>
    <t>Check-out khi đơn đang CANCELLED</t>
  </si>
  <si>
    <t>UT-319</t>
  </si>
  <si>
    <t>Email người nhận phòng ở tầng service</t>
  </si>
  <si>
    <t>Gọi createBooking() với email người nhận phòng theo bộ dữ liệu (kiểm tra regex ở tầng service)</t>
  </si>
  <si>
    <t>guestEmail="an@gmail.com"</t>
  </si>
  <si>
    <t>Hợp lệ = true</t>
  </si>
  <si>
    <t>BookingServiceParamTest::guestEmail_regex</t>
  </si>
  <si>
    <t>UT-320</t>
  </si>
  <si>
    <t>guestEmail="khach.vang.lai@hotel.com.vn"</t>
  </si>
  <si>
    <t>UT-321</t>
  </si>
  <si>
    <t>guestEmail="a@b.co"</t>
  </si>
  <si>
    <t>UT-322</t>
  </si>
  <si>
    <t>guestEmail="  an@gmail.com  "</t>
  </si>
  <si>
    <t>UT-323</t>
  </si>
  <si>
    <t>guestEmail="abc"</t>
  </si>
  <si>
    <t>Hợp lệ = false</t>
  </si>
  <si>
    <t>UT-324</t>
  </si>
  <si>
    <t>guestEmail="a@b"</t>
  </si>
  <si>
    <t>UT-325</t>
  </si>
  <si>
    <t>guestEmail="a b@c.com"</t>
  </si>
  <si>
    <t>UT-326</t>
  </si>
  <si>
    <t>guestEmail="@c.com"</t>
  </si>
  <si>
    <t>UT-327</t>
  </si>
  <si>
    <t>guestEmail="a@.com"</t>
  </si>
  <si>
    <t>UT-328</t>
  </si>
  <si>
    <t>guestEmail="a@@c.com"</t>
  </si>
  <si>
    <t>UT-329</t>
  </si>
  <si>
    <t>Check-in khi đơn đang PENDING</t>
  </si>
  <si>
    <t>Mock đơn ở trạng thái S, nhân viên gọi checkIn()</t>
  </si>
  <si>
    <t>Chỉ CONFIRMED → CHECKED_IN và phòng → OCCUPIED</t>
  </si>
  <si>
    <t>BookingServiceParamTest::stateMachine_checkIn</t>
  </si>
  <si>
    <t>UT-330</t>
  </si>
  <si>
    <t>Check-in khi đơn đang CONFIRMED</t>
  </si>
  <si>
    <t>UT-331</t>
  </si>
  <si>
    <t>Check-in khi đơn đang CHECKED_IN</t>
  </si>
  <si>
    <t>UT-332</t>
  </si>
  <si>
    <t>Check-in khi đơn đang CHECKED_OUT</t>
  </si>
  <si>
    <t>UT-333</t>
  </si>
  <si>
    <t>Check-in khi đơn đang CANCELLED</t>
  </si>
  <si>
    <t>UT-334</t>
  </si>
  <si>
    <t>Từ chối tìm phòng khi ngày nhận ở quá khứ</t>
  </si>
  <si>
    <t>Gọi searchAvailableRooms() với checkIn = hôm qua</t>
  </si>
  <si>
    <t>RoomServiceTest::searchAvailableRooms_checkInInPast_throws</t>
  </si>
  <si>
    <t>UT-335</t>
  </si>
  <si>
    <t>Từ chối tìm phòng khi ngày trả không sau ngày nhận</t>
  </si>
  <si>
    <t>Gọi searchAvailableRooms() với checkOut = checkIn</t>
  </si>
  <si>
    <t>checkIn = checkOut</t>
  </si>
  <si>
    <t>RoomServiceTest::searchAvailableRooms_checkOutNotAfterCheckIn_throws</t>
  </si>
  <si>
    <t>UT-336</t>
  </si>
  <si>
    <t>Từ chối tìm phòng khi thiếu ngày</t>
  </si>
  <si>
    <t>Gọi searchAvailableRooms() với checkIn/checkOut đều null</t>
  </si>
  <si>
    <t>checkIn=null, checkOut=null</t>
  </si>
  <si>
    <t>Ném BusinessException yêu cầu chọn đủ ngày</t>
  </si>
  <si>
    <t>RoomServiceTest::searchAvailableRooms_missingDates_throws</t>
  </si>
  <si>
    <t>UT-337</t>
  </si>
  <si>
    <t>Phòng bảo trì luôn coi là không trống, không cần tra DB lịch đặt</t>
  </si>
  <si>
    <t>Gọi isAvailableForDates() khi room.status=MAINTENANCE</t>
  </si>
  <si>
    <t>status=MAINTENANCE</t>
  </si>
  <si>
    <t>Trả về false; KHÔNG gọi tới bookingRepository (tối ưu, không query thừa)</t>
  </si>
  <si>
    <t>RoomServiceTest::isAvailableForDates_maintenanceRoom_false</t>
  </si>
  <si>
    <t>UT-338</t>
  </si>
  <si>
    <t>Phòng trùng lịch coi là không trống</t>
  </si>
  <si>
    <t>Gọi isAvailableForDates() khi existsOverlappingBooking=true (mock)</t>
  </si>
  <si>
    <t>có booking trùng ngày</t>
  </si>
  <si>
    <t>RoomServiceTest::isAvailableForDates_overlapExists_false</t>
  </si>
  <si>
    <t>UT-339</t>
  </si>
  <si>
    <t>Phòng còn trống và không trùng lịch coi là trống</t>
  </si>
  <si>
    <t>Gọi isAvailableForDates() khi status=AVAILABLE và không trùng lịch</t>
  </si>
  <si>
    <t>status=AVAILABLE, không trùng lịch</t>
  </si>
  <si>
    <t>RoomServiceTest::isAvailableForDates_noOverlapAndAvailable_true</t>
  </si>
  <si>
    <t>UT-340</t>
  </si>
  <si>
    <t>Tạo phòng với số phòng trùng bị từ chối</t>
  </si>
  <si>
    <t>Gọi create() khi existsByRoomNumber=true (mock)</t>
  </si>
  <si>
    <t>roomNumber="101" đã tồn tại</t>
  </si>
  <si>
    <t>Ném BusinessException "Số phòng này đã tồn tại"; không gọi save()</t>
  </si>
  <si>
    <t>RoomServiceTest::create_duplicateRoomNumber_throws</t>
  </si>
  <si>
    <t>UT-341</t>
  </si>
  <si>
    <t>Tạo phòng thành công mặc định trạng thái AVAILABLE</t>
  </si>
  <si>
    <t>Gọi create() với dữ liệu hợp lệ</t>
  </si>
  <si>
    <t>roomNumber="102" chưa tồn tại</t>
  </si>
  <si>
    <t>room.status = AVAILABLE</t>
  </si>
  <si>
    <t>RoomServiceTest::create_success_defaultsStatusAvailable</t>
  </si>
  <si>
    <t>UT-342</t>
  </si>
  <si>
    <t>Xóa phòng đang có lịch sử đặt phòng bị từ chối</t>
  </si>
  <si>
    <t>Gọi delete() khi có booking tham chiếu tới phòng (mock)</t>
  </si>
  <si>
    <t>phòng có ≥1 booking liên quan</t>
  </si>
  <si>
    <t>Ném BusinessException; không gọi deleteById()</t>
  </si>
  <si>
    <t>RoomServiceTest::delete_withExistingBookings_throws</t>
  </si>
  <si>
    <t>UT-343</t>
  </si>
  <si>
    <t>Xác nhận dọn xong phòng sai trạng thái bị từ chối</t>
  </si>
  <si>
    <t>Gọi markReady() khi status=AVAILABLE (không phải NOT_READY)</t>
  </si>
  <si>
    <t>status=AVAILABLE</t>
  </si>
  <si>
    <t>Ném BusinessException "Phòng này hiện không ở trạng thái chờ dọn dẹp"</t>
  </si>
  <si>
    <t>RoomServiceTest::markReady_wrongStatus_throws</t>
  </si>
  <si>
    <t>UT-344</t>
  </si>
  <si>
    <t>Xác nhận dọn xong phòng chuyển NOT_READY → AVAILABLE</t>
  </si>
  <si>
    <t>Gọi markReady() khi status=NOT_READY</t>
  </si>
  <si>
    <t>status=NOT_READY</t>
  </si>
  <si>
    <t>status chuyển thành AVAILABLE</t>
  </si>
  <si>
    <t>RoomServiceTest::markReady_fromNotReady_setsAvailable</t>
  </si>
  <si>
    <t>UT-345</t>
  </si>
  <si>
    <t>Đếm số phòng theo trạng thái chỉ đếm đúng loại</t>
  </si>
  <si>
    <t>Gọi countByStatus() với 2 AVAILABLE, 1 MAINTENANCE</t>
  </si>
  <si>
    <t>3 phòng, 2 trạng thái khác nhau</t>
  </si>
  <si>
    <t>countByStatus(AVAILABLE)=2; countByStatus(MAINTENANCE)=1</t>
  </si>
  <si>
    <t>RoomServiceTest::countByStatus_countsOnlyMatching</t>
  </si>
  <si>
    <t>UT-346</t>
  </si>
  <si>
    <t>Xóa loại phòng còn phòng thuộc loại đó bị từ chối</t>
  </si>
  <si>
    <t>Gọi RoomTypeService.delete() khi còn Room tham chiếu (mock)</t>
  </si>
  <si>
    <t>có ≥1 Room thuộc loại phòng này</t>
  </si>
  <si>
    <t>RoomTypeServiceTest::delete_stillInUse_throws</t>
  </si>
  <si>
    <t>UT-347</t>
  </si>
  <si>
    <t>Xóa loại phòng không còn sử dụng thành công</t>
  </si>
  <si>
    <t>Gọi delete() khi không còn Room nào tham chiếu</t>
  </si>
  <si>
    <t>không có Room nào thuộc loại phòng này</t>
  </si>
  <si>
    <t>Gọi roomTypeRepository.deleteById() đúng 1 lần</t>
  </si>
  <si>
    <t>RoomTypeServiceTest::delete_notInUse_success</t>
  </si>
  <si>
    <t>UT-348</t>
  </si>
  <si>
    <t>Tạo loại phòng mới map đúng toàn bộ field</t>
  </si>
  <si>
    <t>name="Phòng Suite", basePrice=1.200.000, maxGuests=4</t>
  </si>
  <si>
    <t>RoomType trả về đúng name và maxGuests đã nhập</t>
  </si>
  <si>
    <t>RoomTypeServiceTest::create_success_mapsAllFields</t>
  </si>
  <si>
    <t>UT-349</t>
  </si>
  <si>
    <t>Tìm loại phòng không tồn tại báo lỗi</t>
  </si>
  <si>
    <t>Gọi findById() khi không tìm thấy (mock)</t>
  </si>
  <si>
    <t>id không tồn tại</t>
  </si>
  <si>
    <t>Ném BusinessException "Không tìm thấy loại phòng"</t>
  </si>
  <si>
    <t>RoomTypeServiceTest::findById_notFound_throws</t>
  </si>
  <si>
    <t>UT-350</t>
  </si>
  <si>
    <t>getCoverImageUrl() trả null khi phòng chưa có ảnh</t>
  </si>
  <si>
    <t>Gọi Room.getCoverImageUrl() với images rỗng</t>
  </si>
  <si>
    <t>images=[]</t>
  </si>
  <si>
    <t>Trả về null</t>
  </si>
  <si>
    <t>RoomEntityTest::getCoverImageUrl_noImages_returnsNull</t>
  </si>
  <si>
    <t>UT-351</t>
  </si>
  <si>
    <t>getCoverImageUrl() trả ảnh đầu tiên khi có ảnh</t>
  </si>
  <si>
    <t>Gọi getCoverImageUrl() với 2 ảnh đã gán</t>
  </si>
  <si>
    <t>images=[ảnh1, ảnh2]</t>
  </si>
  <si>
    <t>Trả về URL của ảnh đầu tiên (ảnh1)</t>
  </si>
  <si>
    <t>RoomEntityTest::getCoverImageUrl_withImages_returnsFirstImageUrl</t>
  </si>
  <si>
    <t>UT-352</t>
  </si>
  <si>
    <t>findActive() chỉ lấy combo đang active</t>
  </si>
  <si>
    <t>Gọi ComboService.findActive(), mock repository.findByActiveTrue()</t>
  </si>
  <si>
    <t>repository trả 1 combo active</t>
  </si>
  <si>
    <t>Trả về đúng 1 combo; gọi đúng phương thức repository tương ứng</t>
  </si>
  <si>
    <t>ComboServiceTest::findActive_delegatesToRepositoryActiveTrue</t>
  </si>
  <si>
    <t>UT-353</t>
  </si>
  <si>
    <t>toggleActive() đảo trạng thái active→inactive</t>
  </si>
  <si>
    <t>Gọi toggleActive() khi combo.active=true</t>
  </si>
  <si>
    <t>active=true</t>
  </si>
  <si>
    <t>Sau khi gọi, active=false</t>
  </si>
  <si>
    <t>ComboServiceTest::toggleActive_fromActiveToInactive</t>
  </si>
  <si>
    <t>UT-354</t>
  </si>
  <si>
    <t>toggleActive() đảo trạng thái inactive→active</t>
  </si>
  <si>
    <t>Gọi toggleActive() khi combo.active=false</t>
  </si>
  <si>
    <t>active=false</t>
  </si>
  <si>
    <t>Sau khi gọi, active=true</t>
  </si>
  <si>
    <t>ComboServiceTest::toggleActive_fromInactiveToActive</t>
  </si>
  <si>
    <t>UT-355</t>
  </si>
  <si>
    <t>Tìm combo không tồn tại báo lỗi</t>
  </si>
  <si>
    <t>Ném BusinessException "Không tìm thấy combo"</t>
  </si>
  <si>
    <t>ComboServiceTest::findById_notFound_throws</t>
  </si>
  <si>
    <t>UT-356</t>
  </si>
  <si>
    <t>Tạo mã giảm giá trùng code bị từ chối</t>
  </si>
  <si>
    <t>Gọi DiscountCodeService.create() khi existsByCode=true (mock)</t>
  </si>
  <si>
    <t>code="SALE10" đã tồn tại</t>
  </si>
  <si>
    <t>Ném BusinessException "Mã giảm giá này đã tồn tại"; không gọi save()</t>
  </si>
  <si>
    <t>DiscountCodeServiceTest::create_duplicateCode_throws</t>
  </si>
  <si>
    <t>UT-357</t>
  </si>
  <si>
    <t>Trùng mã giảm giá vẫn bị phát hiện dù khác hoa/thường</t>
  </si>
  <si>
    <t>Gọi create() với code="duptest" (chữ thường) khi "DUPTEST" (chữ hoa) đã tồn tại trong DB</t>
  </si>
  <si>
    <t>code nhập="duptest", code đã lưu="DUPTEST"</t>
  </si>
  <si>
    <t>Phải bị nhận diện là trùng (ném BusinessException), KHÔNG được lọt qua rồi vỡ ở ràng buộc unique của DB</t>
  </si>
  <si>
    <t>Fail</t>
  </si>
  <si>
    <t>DiscountCodeServiceTest::create_duplicateCodeDifferentCase_stillDetectedAsDuplicate</t>
  </si>
  <si>
    <t>UT-358</t>
  </si>
  <si>
    <t>Tạo mã giảm giá thành công: chuẩn hoá hoa + active=true</t>
  </si>
  <si>
    <t>Gọi create() với code="sale10" (chữ thường)</t>
  </si>
  <si>
    <t>code="sale10"</t>
  </si>
  <si>
    <t>code lưu = "SALE10" (viết hoa); active=true</t>
  </si>
  <si>
    <t>DiscountCodeServiceTest::create_success_upperCasesCodeAndSetsActiveTrue</t>
  </si>
  <si>
    <t>UT-359</t>
  </si>
  <si>
    <t>Kiểm tra mã không tồn tại báo lỗi</t>
  </si>
  <si>
    <t>Gọi validateAndCalculateDiscount() khi findByCodeAndActiveTrue rỗng (mock)</t>
  </si>
  <si>
    <t>Ném BusinessException báo mã không tồn tại/đã ngừng</t>
  </si>
  <si>
    <t>DiscountCodeServiceTest::validateAndCalculateDiscount_codeNotFound_throws</t>
  </si>
  <si>
    <t>UT-360</t>
  </si>
  <si>
    <t>Kiểm tra mã sai loại khách hàng bị từ chối</t>
  </si>
  <si>
    <t>Gọi validateAndCalculateDiscount() với mã chỉ áp VIP, khách NEW</t>
  </si>
  <si>
    <t>Ném BusinessException báo không áp dụng cho loại khách này</t>
  </si>
  <si>
    <t>DiscountCodeServiceTest::validateAndCalculateDiscount_wrongCustomerType_throws</t>
  </si>
  <si>
    <t>UT-361</t>
  </si>
  <si>
    <t>Mã áp dụng customerType=null chấp nhận mọi loại khách</t>
  </si>
  <si>
    <t>Gọi validateAndCalculateDiscount() với applicableCustomerType=null, khách VIP</t>
  </si>
  <si>
    <t>applicableCustomerType=null</t>
  </si>
  <si>
    <t>Tính giảm giá bình thường (20.000đ trên 200.000đ, 10%)</t>
  </si>
  <si>
    <t>DiscountCodeServiceTest::validateAndCalculateDiscount_nullApplicableType_acceptsAnyCustomerType</t>
  </si>
  <si>
    <t>UT-362</t>
  </si>
  <si>
    <t>Mã giảm cố định bị giới hạn không vượt tổng tiền</t>
  </si>
  <si>
    <t>Gọi validateAndCalculateDiscount() với FIXED_AMOUNT 500.000đ trên tổng 200.000đ</t>
  </si>
  <si>
    <t>discountValue=500.000đ &gt; total=200.000đ</t>
  </si>
  <si>
    <t>Trả về 200.000đ (giới hạn bằng tổng tiền)</t>
  </si>
  <si>
    <t>DiscountCodeServiceTest::validateAndCalculateDiscount_fixedAmountCappedAtTotal</t>
  </si>
  <si>
    <t>UT-363</t>
  </si>
  <si>
    <t>toggleActive() đảo đúng giá trị hiện tại của mã giảm giá</t>
  </si>
  <si>
    <t>Gọi toggleActive() khi active=true</t>
  </si>
  <si>
    <t>DiscountCodeServiceTest::toggleActive_flipsCurrentValue</t>
  </si>
  <si>
    <t>UT-364</t>
  </si>
  <si>
    <t>Validate mã giảm giá: code bỏ trống bị từ chối</t>
  </si>
  <si>
    <t>Gọi Validator.validate() trên DiscountCodeRequest với code rỗng</t>
  </si>
  <si>
    <t>code=""</t>
  </si>
  <si>
    <t>Trả vi phạm ràng buộc @NotBlank trên field code</t>
  </si>
  <si>
    <t>DiscountCodeRequestValidationTest::blankCode_isRejected</t>
  </si>
  <si>
    <t>UT-365</t>
  </si>
  <si>
    <t>Validate mã giảm giá: giá trị giảm = 0 bị từ chối</t>
  </si>
  <si>
    <t>Gọi validate() với discountValue=0</t>
  </si>
  <si>
    <t>discountValue=0</t>
  </si>
  <si>
    <t>Trả vi phạm ràng buộc @DecimalMin (phải &gt; 0)</t>
  </si>
  <si>
    <t>DiscountCodeRequestValidationTest::negativeOrZeroDiscountValue_isRejected</t>
  </si>
  <si>
    <t>UT-366</t>
  </si>
  <si>
    <t>Mã giảm giá PERCENTAGE &gt; 100% phải bị từ chối</t>
  </si>
  <si>
    <t>Gọi Validator.validate() trên DiscountCodeRequest với discountType=PERCENTAGE, discountValue=150</t>
  </si>
  <si>
    <t>discountType=PERCENTAGE, discountValue=150</t>
  </si>
  <si>
    <t>Phải có vi phạm ràng buộc (không cho lưu mức giảm giá vô nghĩa "giảm 150%")</t>
  </si>
  <si>
    <t>DiscountCodeRequestValidationTest::percentageDiscountOver100_isRejected</t>
  </si>
  <si>
    <t>UT-367</t>
  </si>
  <si>
    <t>Mã giảm giá PERCENTAGE = 100% hợp lệ (ranh giới)</t>
  </si>
  <si>
    <t>Gọi validate() với discountType=PERCENTAGE, discountValue=100</t>
  </si>
  <si>
    <t>discountValue=100 (biên)</t>
  </si>
  <si>
    <t>Không có vi phạm ràng buộc nào (100% vẫn hợp lệ)</t>
  </si>
  <si>
    <t>DiscountCodeRequestValidationTest::percentageDiscountExactly100_isAccepted</t>
  </si>
  <si>
    <t>UT-368</t>
  </si>
  <si>
    <t>Mã giảm giá FIXED_AMOUNT &gt; 100 vẫn hợp lệ</t>
  </si>
  <si>
    <t>Gọi validate() với discountType=FIXED_AMOUNT, discountValue=200000</t>
  </si>
  <si>
    <t>discountType=FIXED_AMOUNT, discountValue=200.000</t>
  </si>
  <si>
    <t>Không có vi phạm (trần 100 chỉ áp dụng cho PERCENTAGE, không áp cho số tiền VND)</t>
  </si>
  <si>
    <t>DiscountCodeRequestValidationTest::fixedAmountOver100_isStillAccepted</t>
  </si>
  <si>
    <t>UT-369</t>
  </si>
  <si>
    <t>Tìm phòng trống - kiểm tra ngày</t>
  </si>
  <si>
    <t>Gọi searchAvailableRooms() với ngày nhận = hôm nay + a, ngày trả = hôm nay + b</t>
  </si>
  <si>
    <t>checkIn=hôm nay+1, checkOut=hôm nay+2</t>
  </si>
  <si>
    <t>Hợp lệ - gọi truy vấn tìm phòng</t>
  </si>
  <si>
    <t>CatalogServiceParamTest::searchAvailable_validatesDates</t>
  </si>
  <si>
    <t>UT-370</t>
  </si>
  <si>
    <t>checkIn=hôm nay+0, checkOut=hôm nay+1</t>
  </si>
  <si>
    <t>UT-371</t>
  </si>
  <si>
    <t>checkIn=hôm nay+3, checkOut=hôm nay+10</t>
  </si>
  <si>
    <t>UT-372</t>
  </si>
  <si>
    <t>checkIn=hôm nay-1, checkOut=hôm nay+2</t>
  </si>
  <si>
    <t>Lỗi: ngày nhận ở quá khứ</t>
  </si>
  <si>
    <t>UT-373</t>
  </si>
  <si>
    <t>checkIn=hôm nay+2, checkOut=hôm nay+2</t>
  </si>
  <si>
    <t>Lỗi: ngày trả phải sau ngày nhận</t>
  </si>
  <si>
    <t>UT-374</t>
  </si>
  <si>
    <t>checkIn=hôm nay+5, checkOut=hôm nay+3</t>
  </si>
  <si>
    <t>UT-375</t>
  </si>
  <si>
    <t>Thêm phòng kèm 0 ảnh</t>
  </si>
  <si>
    <t>Gọi RoomService.create() với N ảnh hợp lệ (giới hạn 6 ảnh/phòng)</t>
  </si>
  <si>
    <t>imageFiles có 0 ảnh</t>
  </si>
  <si>
    <t>Thành công = true; thành công thì lưu đúng 0 ảnh</t>
  </si>
  <si>
    <t>CatalogServiceParamTest::createRoom_imageLimit</t>
  </si>
  <si>
    <t>UT-376</t>
  </si>
  <si>
    <t>Thêm phòng kèm 1 ảnh</t>
  </si>
  <si>
    <t>imageFiles có 1 ảnh</t>
  </si>
  <si>
    <t>Thành công = true; thành công thì lưu đúng 1 ảnh</t>
  </si>
  <si>
    <t>UT-377</t>
  </si>
  <si>
    <t>Thêm phòng kèm 3 ảnh</t>
  </si>
  <si>
    <t>imageFiles có 3 ảnh</t>
  </si>
  <si>
    <t>Thành công = true; thành công thì lưu đúng 3 ảnh</t>
  </si>
  <si>
    <t>UT-378</t>
  </si>
  <si>
    <t>Thêm phòng kèm 5 ảnh</t>
  </si>
  <si>
    <t>imageFiles có 5 ảnh</t>
  </si>
  <si>
    <t>Thành công = true; thành công thì lưu đúng 5 ảnh</t>
  </si>
  <si>
    <t>UT-379</t>
  </si>
  <si>
    <t>Thêm phòng kèm 6 ảnh</t>
  </si>
  <si>
    <t>imageFiles có 6 ảnh</t>
  </si>
  <si>
    <t>Thành công = true; thành công thì lưu đúng 6 ảnh</t>
  </si>
  <si>
    <t>UT-380</t>
  </si>
  <si>
    <t>Thêm phòng kèm 7 ảnh</t>
  </si>
  <si>
    <t>imageFiles có 7 ảnh</t>
  </si>
  <si>
    <t>Thành công = false; thành công thì lưu đúng 7 ảnh</t>
  </si>
  <si>
    <t>UT-381</t>
  </si>
  <si>
    <t>Thêm phòng kèm 10 ảnh</t>
  </si>
  <si>
    <t>imageFiles có 10 ảnh</t>
  </si>
  <si>
    <t>Thành công = false; thành công thì lưu đúng 10 ảnh</t>
  </si>
  <si>
    <t>UT-382</t>
  </si>
  <si>
    <t>Ngày bị khóa trên lịch với đơn 1 đêm</t>
  </si>
  <si>
    <t>Mock danh sách đơn của phòng, gọi findUnavailableDates() để tô xám lịch</t>
  </si>
  <si>
    <t>đơn từ ngày 10 đến ngày 10+1</t>
  </si>
  <si>
    <t>Khóa 1 ngày, KHÔNG khóa ngày trả phòng</t>
  </si>
  <si>
    <t>CatalogServiceParamTest::unavailableDates_excludeCheckoutDay</t>
  </si>
  <si>
    <t>UT-383</t>
  </si>
  <si>
    <t>Ngày bị khóa trên lịch với đơn 2 đêm</t>
  </si>
  <si>
    <t>đơn từ ngày 10 đến ngày 10+2</t>
  </si>
  <si>
    <t>Khóa 2 ngày, KHÔNG khóa ngày trả phòng</t>
  </si>
  <si>
    <t>UT-384</t>
  </si>
  <si>
    <t>Ngày bị khóa trên lịch với đơn 3 đêm</t>
  </si>
  <si>
    <t>đơn từ ngày 10 đến ngày 10+3</t>
  </si>
  <si>
    <t>Khóa 3 ngày, KHÔNG khóa ngày trả phòng</t>
  </si>
  <si>
    <t>UT-385</t>
  </si>
  <si>
    <t>Ngày bị khóa trên lịch với đơn 7 đêm</t>
  </si>
  <si>
    <t>đơn từ ngày 10 đến ngày 10+7</t>
  </si>
  <si>
    <t>Khóa 7 ngày, KHÔNG khóa ngày trả phòng</t>
  </si>
  <si>
    <t>UT-386</t>
  </si>
  <si>
    <t>Sửa mã giảm giá thành "OLD"</t>
  </si>
  <si>
    <t>Mock mã hiện tại là OLD, mã khác OTHER đã tồn tại, gọi update() đổi sang mã mới</t>
  </si>
  <si>
    <t>mã cũ OLD, OTHER đã tồn tại</t>
  </si>
  <si>
    <t>Bị từ chối = false</t>
  </si>
  <si>
    <t>CatalogServiceParamTest::updateCode_duplicateCheck</t>
  </si>
  <si>
    <t>UT-387</t>
  </si>
  <si>
    <t>Sửa mã giảm giá thành "old"</t>
  </si>
  <si>
    <t>UT-388</t>
  </si>
  <si>
    <t>Sửa mã giảm giá thành "NEWCODE"</t>
  </si>
  <si>
    <t>UT-389</t>
  </si>
  <si>
    <t>Sửa mã giảm giá thành "OTHER"</t>
  </si>
  <si>
    <t>Bị từ chối = true</t>
  </si>
  <si>
    <t>UT-390</t>
  </si>
  <si>
    <t>Sửa mã giảm giá thành "other"</t>
  </si>
  <si>
    <t>UT-391</t>
  </si>
  <si>
    <t>Trùng số phòng khi thêm mới</t>
  </si>
  <si>
    <t>Mock existsByRoomNumber, gọi RoomService.create()/update() với số phòng theo bộ dữ liệu</t>
  </si>
  <si>
    <t>số phòng "101", đã tồn tại = true</t>
  </si>
  <si>
    <t>CatalogServiceParamTest::roomNumber_mustBeUnique</t>
  </si>
  <si>
    <t>UT-392</t>
  </si>
  <si>
    <t>số phòng "102", đã tồn tại = false</t>
  </si>
  <si>
    <t>UT-393</t>
  </si>
  <si>
    <t>Trùng số phòng khi sửa - đổi sang số phòng khác</t>
  </si>
  <si>
    <t>số phòng "201", đã tồn tại = true</t>
  </si>
  <si>
    <t>UT-394</t>
  </si>
  <si>
    <t>Trùng số phòng khi sửa - giữ nguyên số phòng</t>
  </si>
  <si>
    <t>UT-395</t>
  </si>
  <si>
    <t>Trùng số phòng khi sửa - đổi sang số chưa dùng</t>
  </si>
  <si>
    <t>số phòng "305", đã tồn tại = false</t>
  </si>
  <si>
    <t>UT-396</t>
  </si>
  <si>
    <t>Tạo mã giảm giá - chuẩn hóa chữ hoa</t>
  </si>
  <si>
    <t>Gọi DiscountCodeService.create() với mã khách nhập (chưa tồn tại)</t>
  </si>
  <si>
    <t>code="welcome10"</t>
  </si>
  <si>
    <t>Lưu thành "WELCOME10", trạng thái đang áp dụng</t>
  </si>
  <si>
    <t>CatalogServiceParamTest::createCode_uppercased</t>
  </si>
  <si>
    <t>UT-397</t>
  </si>
  <si>
    <t>code="Vip20"</t>
  </si>
  <si>
    <t>Lưu thành "VIP20", trạng thái đang áp dụng</t>
  </si>
  <si>
    <t>UT-398</t>
  </si>
  <si>
    <t>code="NEWBIE2026"</t>
  </si>
  <si>
    <t>Lưu thành "NEWBIE2026", trạng thái đang áp dụng</t>
  </si>
  <si>
    <t>UT-399</t>
  </si>
  <si>
    <t>code="tet-2027"</t>
  </si>
  <si>
    <t>Lưu thành "TET-2027", trạng thái đang áp dụng</t>
  </si>
  <si>
    <t>UT-400</t>
  </si>
  <si>
    <t>Xóa loại phòng khi còn 0 phòng thuộc loại đó</t>
  </si>
  <si>
    <t>Mock danh sách phòng, gọi RoomTypeService.delete(1)</t>
  </si>
  <si>
    <t>số phòng thuộc loại = 0</t>
  </si>
  <si>
    <t>Bị chặn = false</t>
  </si>
  <si>
    <t>CatalogServiceParamTest::deleteRoomType_blockedWhenInUse</t>
  </si>
  <si>
    <t>UT-401</t>
  </si>
  <si>
    <t>Xóa loại phòng khi còn 1 phòng thuộc loại đó</t>
  </si>
  <si>
    <t>số phòng thuộc loại = 1</t>
  </si>
  <si>
    <t>Bị chặn = true</t>
  </si>
  <si>
    <t>UT-402</t>
  </si>
  <si>
    <t>Xóa loại phòng khi còn 3 phòng thuộc loại đó</t>
  </si>
  <si>
    <t>số phòng thuộc loại = 3</t>
  </si>
  <si>
    <t>UT-403</t>
  </si>
  <si>
    <t>Kiểm tra mã dành cho VIP với khách VIP</t>
  </si>
  <si>
    <t>Mock mã dành riêng cho loại khách A, gọi validateAndCalculateDiscount() với loại khách B</t>
  </si>
  <si>
    <t>applicable=VIP, customer=VIP</t>
  </si>
  <si>
    <t>CatalogServiceParamTest::validateAndCalculate_customerType</t>
  </si>
  <si>
    <t>UT-404</t>
  </si>
  <si>
    <t>Kiểm tra mã dành cho VIP với khách NEW</t>
  </si>
  <si>
    <t>applicable=VIP, customer=NEW</t>
  </si>
  <si>
    <t>UT-405</t>
  </si>
  <si>
    <t>Kiểm tra mã dành cho REGULAR với khách REGULAR</t>
  </si>
  <si>
    <t>applicable=REGULAR, customer=REGULAR</t>
  </si>
  <si>
    <t>UT-406</t>
  </si>
  <si>
    <t>Kiểm tra mã dành cho REGULAR với khách VIP</t>
  </si>
  <si>
    <t>applicable=REGULAR, customer=VIP</t>
  </si>
  <si>
    <t>UT-407</t>
  </si>
  <si>
    <t>Kiểm tra mã dành cho NEW với khách NEW</t>
  </si>
  <si>
    <t>applicable=NEW, customer=NEW</t>
  </si>
  <si>
    <t>UT-408</t>
  </si>
  <si>
    <t>Kiểm tra mã dành cho NEW với khách REGULAR</t>
  </si>
  <si>
    <t>applicable=NEW, customer=REGULAR</t>
  </si>
  <si>
    <t>UT-409</t>
  </si>
  <si>
    <t>Ẩn/Hiện combo: ban đầu active=true, bấm 1 lần</t>
  </si>
  <si>
    <t>Mock combo đang ở trạng thái active = A, gọi toggleActive() K lần</t>
  </si>
  <si>
    <t>active=true, toggle 1 lần</t>
  </si>
  <si>
    <t>active cuối = false</t>
  </si>
  <si>
    <t>CatalogServiceParamTest::combo_toggle</t>
  </si>
  <si>
    <t>UT-410</t>
  </si>
  <si>
    <t>Ẩn/Hiện combo: ban đầu active=false, bấm 1 lần</t>
  </si>
  <si>
    <t>active=false, toggle 1 lần</t>
  </si>
  <si>
    <t>active cuối = true</t>
  </si>
  <si>
    <t>UT-411</t>
  </si>
  <si>
    <t>Ẩn/Hiện combo: ban đầu active=true, bấm 2 lần</t>
  </si>
  <si>
    <t>active=true, toggle 2 lần</t>
  </si>
  <si>
    <t>UT-412</t>
  </si>
  <si>
    <t>Ẩn/Hiện combo: ban đầu active=false, bấm 2 lần</t>
  </si>
  <si>
    <t>active=false, toggle 2 lần</t>
  </si>
  <si>
    <t>UT-413</t>
  </si>
  <si>
    <t>Ẩn/Hiện combo: ban đầu active=true, bấm 3 lần</t>
  </si>
  <si>
    <t>active=true, toggle 3 lần</t>
  </si>
  <si>
    <t>UT-414</t>
  </si>
  <si>
    <t>Sửa phòng: đang có 0 ảnh, thêm 6 ảnh</t>
  </si>
  <si>
    <t>Phòng đang có E ảnh, gọi RoomService.update() thêm N ảnh mới</t>
  </si>
  <si>
    <t>hiện có 0, thêm 6</t>
  </si>
  <si>
    <t>Thành công = true</t>
  </si>
  <si>
    <t>CatalogServiceParamTest::updateRoom_imageLimit</t>
  </si>
  <si>
    <t>UT-415</t>
  </si>
  <si>
    <t>Sửa phòng: đang có 2 ảnh, thêm 4 ảnh</t>
  </si>
  <si>
    <t>hiện có 2, thêm 4</t>
  </si>
  <si>
    <t>UT-416</t>
  </si>
  <si>
    <t>Sửa phòng: đang có 5 ảnh, thêm 1 ảnh</t>
  </si>
  <si>
    <t>hiện có 5, thêm 1</t>
  </si>
  <si>
    <t>UT-417</t>
  </si>
  <si>
    <t>Sửa phòng: đang có 6 ảnh, thêm 0 ảnh</t>
  </si>
  <si>
    <t>hiện có 6, thêm 0</t>
  </si>
  <si>
    <t>UT-418</t>
  </si>
  <si>
    <t>Sửa phòng: đang có 5 ảnh, thêm 2 ảnh</t>
  </si>
  <si>
    <t>hiện có 5, thêm 2</t>
  </si>
  <si>
    <t>Thành công = false</t>
  </si>
  <si>
    <t>UT-419</t>
  </si>
  <si>
    <t>Sửa phòng: đang có 6 ảnh, thêm 1 ảnh</t>
  </si>
  <si>
    <t>hiện có 6, thêm 1</t>
  </si>
  <si>
    <t>UT-420</t>
  </si>
  <si>
    <t>Sửa phòng: đang có 3 ảnh, thêm 4 ảnh</t>
  </si>
  <si>
    <t>hiện có 3, thêm 4</t>
  </si>
  <si>
    <t>UT-421</t>
  </si>
  <si>
    <t>Bật/Tắt mã giảm giá đang active=true</t>
  </si>
  <si>
    <t>Mock mã đang ở trạng thái active = A, gọi toggleActive()</t>
  </si>
  <si>
    <t>Sau khi bấm active = false</t>
  </si>
  <si>
    <t>CatalogServiceParamTest::code_toggle</t>
  </si>
  <si>
    <t>UT-422</t>
  </si>
  <si>
    <t>Bật/Tắt mã giảm giá đang active=false</t>
  </si>
  <si>
    <t>Sau khi bấm active = true</t>
  </si>
  <si>
    <t>UT-423</t>
  </si>
  <si>
    <t>Kiểm tra mã PERCENTAGE 10 cho khách NEW trên 1000000 VND</t>
  </si>
  <si>
    <t>Mock mã đang hoạt động, gọi validateAndCalculateDiscount(code, loại khách, tạm tính)</t>
  </si>
  <si>
    <t>type=PERCENTAGE, value=10, customer=NEW, subtotal=1000000</t>
  </si>
  <si>
    <t>Số tiền giảm = 100000</t>
  </si>
  <si>
    <t>CatalogServiceParamTest::validateAndCalculate</t>
  </si>
  <si>
    <t>UT-424</t>
  </si>
  <si>
    <t>Kiểm tra mã PERCENTAGE 25 cho khách REGULAR trên 800000 VND</t>
  </si>
  <si>
    <t>type=PERCENTAGE, value=25, customer=REGULAR, subtotal=800000</t>
  </si>
  <si>
    <t>Số tiền giảm = 200000</t>
  </si>
  <si>
    <t>UT-425</t>
  </si>
  <si>
    <t>Kiểm tra mã PERCENTAGE 100 cho khách VIP trên 450000 VND</t>
  </si>
  <si>
    <t>type=PERCENTAGE, value=100, customer=VIP, subtotal=450000</t>
  </si>
  <si>
    <t>Số tiền giảm = 450000</t>
  </si>
  <si>
    <t>UT-426</t>
  </si>
  <si>
    <t>Kiểm tra mã PERCENTAGE 5 cho khách NEW trên 1799000 VND</t>
  </si>
  <si>
    <t>type=PERCENTAGE, value=5, customer=NEW, subtotal=1799000</t>
  </si>
  <si>
    <t>Số tiền giảm = 89950</t>
  </si>
  <si>
    <t>UT-427</t>
  </si>
  <si>
    <t>Kiểm tra mã FIXED_AMOUNT 100000 cho khách NEW trên 1000000 VND</t>
  </si>
  <si>
    <t>type=FIXED_AMOUNT, value=100000, customer=NEW, subtotal=1000000</t>
  </si>
  <si>
    <t>UT-428</t>
  </si>
  <si>
    <t>Kiểm tra mã FIXED_AMOUNT 100000 cho khách VIP trên 80000 VND</t>
  </si>
  <si>
    <t>type=FIXED_AMOUNT, value=100000, customer=VIP, subtotal=80000</t>
  </si>
  <si>
    <t>Số tiền giảm = 80000</t>
  </si>
  <si>
    <t>UT-429</t>
  </si>
  <si>
    <t>Kiểm tra mã FIXED_AMOUNT 250000 cho khách REGULAR trên 250000 VND</t>
  </si>
  <si>
    <t>type=FIXED_AMOUNT, value=250000, customer=REGULAR, subtotal=250000</t>
  </si>
  <si>
    <t>Số tiền giảm = 250000</t>
  </si>
  <si>
    <t>UT-430</t>
  </si>
  <si>
    <t>Kiểm tra mã FIXED_AMOUNT 50000 cho khách NEW trên 0 VND</t>
  </si>
  <si>
    <t>type=FIXED_AMOUNT, value=50000, customer=NEW, subtotal=0</t>
  </si>
  <si>
    <t>Số tiền giảm = 0</t>
  </si>
  <si>
    <t>UT-431</t>
  </si>
  <si>
    <t>Sửa combo kèm ảnh mới</t>
  </si>
  <si>
    <t>Gọi ComboService.update() có/không kèm ảnh mới</t>
  </si>
  <si>
    <t>kèm ảnh mới</t>
  </si>
  <si>
    <t>Ảnh cũ bị xóa = true</t>
  </si>
  <si>
    <t>CatalogServiceParamTest::combo_updateImage</t>
  </si>
  <si>
    <t>UT-432</t>
  </si>
  <si>
    <t>Sửa combo không đổi ảnh</t>
  </si>
  <si>
    <t>không đổi ảnh</t>
  </si>
  <si>
    <t>Ảnh cũ bị xóa = false</t>
  </si>
  <si>
    <t>UT-433</t>
  </si>
  <si>
    <t>Tìm loại phòng theo id không tồn tại</t>
  </si>
  <si>
    <t>Gọi findById() với id không tồn tại trên từng service danh mục</t>
  </si>
  <si>
    <t>id=999</t>
  </si>
  <si>
    <t>CatalogServiceParamTest::findById_notFound</t>
  </si>
  <si>
    <t>UT-434</t>
  </si>
  <si>
    <t>Tìm phòng theo id không tồn tại</t>
  </si>
  <si>
    <t>UT-435</t>
  </si>
  <si>
    <t>Tìm combo theo id không tồn tại</t>
  </si>
  <si>
    <t>UT-436</t>
  </si>
  <si>
    <t>Tìm mã giảm giá theo id không tồn tại</t>
  </si>
  <si>
    <t>Ném BusinessException "Không tìm thấy mã giảm giá"</t>
  </si>
  <si>
    <t>UT-437</t>
  </si>
  <si>
    <t>Phòng còn trống cho khoảng ngày - trạng thái AVAILABLE, trùng lịch = false</t>
  </si>
  <si>
    <t>Mock phòng ở trạng thái S, existsOverlappingBooking = O, gọi isAvailableForDates()</t>
  </si>
  <si>
    <t>status=AVAILABLE, overlap=false</t>
  </si>
  <si>
    <t>isAvailable = true</t>
  </si>
  <si>
    <t>CatalogServiceParamTest::isAvailableForDates</t>
  </si>
  <si>
    <t>UT-438</t>
  </si>
  <si>
    <t>Phòng còn trống cho khoảng ngày - trạng thái AVAILABLE, trùng lịch = true</t>
  </si>
  <si>
    <t>status=AVAILABLE, overlap=true</t>
  </si>
  <si>
    <t>isAvailable = false</t>
  </si>
  <si>
    <t>UT-439</t>
  </si>
  <si>
    <t>Phòng còn trống cho khoảng ngày - trạng thái BOOKED, trùng lịch = false</t>
  </si>
  <si>
    <t>status=BOOKED, overlap=false</t>
  </si>
  <si>
    <t>UT-440</t>
  </si>
  <si>
    <t>Phòng còn trống cho khoảng ngày - trạng thái OCCUPIED, trùng lịch = false</t>
  </si>
  <si>
    <t>status=OCCUPIED, overlap=false</t>
  </si>
  <si>
    <t>UT-441</t>
  </si>
  <si>
    <t>Phòng còn trống cho khoảng ngày - trạng thái NOT_READY, trùng lịch = false</t>
  </si>
  <si>
    <t>status=NOT_READY, overlap=false</t>
  </si>
  <si>
    <t>UT-442</t>
  </si>
  <si>
    <t>Phòng còn trống cho khoảng ngày - trạng thái MAINTENANCE, trùng lịch = false</t>
  </si>
  <si>
    <t>status=MAINTENANCE, overlap=false</t>
  </si>
  <si>
    <t>UT-443</t>
  </si>
  <si>
    <t>Phòng còn trống cho khoảng ngày - trạng thái MAINTENANCE, trùng lịch = true</t>
  </si>
  <si>
    <t>status=MAINTENANCE, overlap=true</t>
  </si>
  <si>
    <t>UT-444</t>
  </si>
  <si>
    <t>Tìm phòng trống - thiếu checkIn</t>
  </si>
  <si>
    <t>Gọi searchAvailableRooms() thiếu ngày nhận/ngày trả</t>
  </si>
  <si>
    <t>checkIn=null</t>
  </si>
  <si>
    <t>CatalogServiceParamTest::searchAvailable_missingDate</t>
  </si>
  <si>
    <t>UT-445</t>
  </si>
  <si>
    <t>Tìm phòng trống - thiếu checkOut</t>
  </si>
  <si>
    <t>checkOut=null</t>
  </si>
  <si>
    <t>UT-446</t>
  </si>
  <si>
    <t>Xóa phòng khi phòng chưa từng được đặt</t>
  </si>
  <si>
    <t>Mock phòng có/không có đơn đặt phòng liên quan, gọi RoomService.delete()</t>
  </si>
  <si>
    <t>có lịch sử đặt phòng = false</t>
  </si>
  <si>
    <t>Bị chặn = false; xóa được thì xóa cả ảnh</t>
  </si>
  <si>
    <t>CatalogServiceParamTest::deleteRoom_blockedWhenHasBookings</t>
  </si>
  <si>
    <t>UT-447</t>
  </si>
  <si>
    <t>Xóa phòng khi phòng đã có đơn đặt phòng</t>
  </si>
  <si>
    <t>có lịch sử đặt phòng = true</t>
  </si>
  <si>
    <t>Bị chặn = true; xóa được thì xóa cả ảnh</t>
  </si>
  <si>
    <t>UT-448</t>
  </si>
  <si>
    <t>Đếm số phòng ở trạng thái AVAILABLE</t>
  </si>
  <si>
    <t>Mock danh sách phòng theo trạng thái, gọi countByStatus() (dùng cho thẻ số liệu dashboard)</t>
  </si>
  <si>
    <t>5 phòng, mỗi trạng thái 1 phòng + thêm 1 phòng AVAILABLE</t>
  </si>
  <si>
    <t>Kết quả = 2</t>
  </si>
  <si>
    <t>CatalogServiceParamTest::countByStatus</t>
  </si>
  <si>
    <t>UT-449</t>
  </si>
  <si>
    <t>Đếm số phòng ở trạng thái BOOKED</t>
  </si>
  <si>
    <t>Kết quả = 1</t>
  </si>
  <si>
    <t>UT-450</t>
  </si>
  <si>
    <t>Đếm số phòng ở trạng thái OCCUPIED</t>
  </si>
  <si>
    <t>UT-451</t>
  </si>
  <si>
    <t>Đếm số phòng ở trạng thái MAINTENANCE</t>
  </si>
  <si>
    <t>UT-452</t>
  </si>
  <si>
    <t>Đếm số phòng ở trạng thái NOT_READY</t>
  </si>
  <si>
    <t>UT-453</t>
  </si>
  <si>
    <t>Đổi trạng thái phòng trực tiếp sang AVAILABLE</t>
  </si>
  <si>
    <t>Mock phòng AVAILABLE, nhân viên đổi trạng thái sang S bằng changeStatus()</t>
  </si>
  <si>
    <t>status mới=AVAILABLE</t>
  </si>
  <si>
    <t>Phòng được lưu với trạng thái AVAILABLE</t>
  </si>
  <si>
    <t>CatalogServiceParamTest::changeStatus_anyStatus</t>
  </si>
  <si>
    <t>UT-454</t>
  </si>
  <si>
    <t>Đổi trạng thái phòng trực tiếp sang BOOKED</t>
  </si>
  <si>
    <t>status mới=BOOKED</t>
  </si>
  <si>
    <t>Phòng được lưu với trạng thái BOOKED</t>
  </si>
  <si>
    <t>UT-455</t>
  </si>
  <si>
    <t>Đổi trạng thái phòng trực tiếp sang OCCUPIED</t>
  </si>
  <si>
    <t>status mới=OCCUPIED</t>
  </si>
  <si>
    <t>Phòng được lưu với trạng thái OCCUPIED</t>
  </si>
  <si>
    <t>UT-456</t>
  </si>
  <si>
    <t>Đổi trạng thái phòng trực tiếp sang MAINTENANCE</t>
  </si>
  <si>
    <t>status mới=MAINTENANCE</t>
  </si>
  <si>
    <t>Phòng được lưu với trạng thái MAINTENANCE</t>
  </si>
  <si>
    <t>UT-457</t>
  </si>
  <si>
    <t>Đổi trạng thái phòng trực tiếp sang NOT_READY</t>
  </si>
  <si>
    <t>status mới=NOT_READY</t>
  </si>
  <si>
    <t>Phòng được lưu với trạng thái NOT_READY</t>
  </si>
  <si>
    <t>UT-458</t>
  </si>
  <si>
    <t>Tạo mã trùng (không phân biệt hoa thường)</t>
  </si>
  <si>
    <t>Mock mã DUPTEST đã tồn tại, gọi create() với các biến thể chữ hoa/thường</t>
  </si>
  <si>
    <t>code="DUPTEST"</t>
  </si>
  <si>
    <t>Ném BusinessException "đã tồn tại"</t>
  </si>
  <si>
    <t>CatalogServiceParamTest::createCode_duplicateCaseInsensitive</t>
  </si>
  <si>
    <t>UT-459</t>
  </si>
  <si>
    <t>code="duptest"</t>
  </si>
  <si>
    <t>UT-460</t>
  </si>
  <si>
    <t>code="DupTest"</t>
  </si>
  <si>
    <t>UT-461</t>
  </si>
  <si>
    <t>Xác nhận phòng sẵn sàng khi phòng đang AVAILABLE</t>
  </si>
  <si>
    <t>Mock phòng ở trạng thái S, nhân viên gọi markReady() (xác nhận dọn dẹp xong)</t>
  </si>
  <si>
    <t>Chỉ NOT_READY → AVAILABLE, trạng thái khác báo lỗi</t>
  </si>
  <si>
    <t>CatalogServiceParamTest::markReady_onlyFromNotReady</t>
  </si>
  <si>
    <t>UT-462</t>
  </si>
  <si>
    <t>Xác nhận phòng sẵn sàng khi phòng đang BOOKED</t>
  </si>
  <si>
    <t>UT-463</t>
  </si>
  <si>
    <t>Xác nhận phòng sẵn sàng khi phòng đang OCCUPIED</t>
  </si>
  <si>
    <t>UT-464</t>
  </si>
  <si>
    <t>Xác nhận phòng sẵn sàng khi phòng đang MAINTENANCE</t>
  </si>
  <si>
    <t>UT-465</t>
  </si>
  <si>
    <t>Xác nhận phòng sẵn sàng khi phòng đang NOT_READY</t>
  </si>
  <si>
    <t>UT-466</t>
  </si>
  <si>
    <t>Thao tác ảnh không hợp lệ - xóa ảnh thuộc phòng khác</t>
  </si>
  <si>
    <t>Gọi deleteImage()/replaceImage() với ảnh thuộc phòng khác hoặc không tồn tại</t>
  </si>
  <si>
    <t>xóa ảnh thuộc phòng khác</t>
  </si>
  <si>
    <t>Ném BusinessException "không thuộc phòng"</t>
  </si>
  <si>
    <t>CatalogServiceParamTest::imageOperations_validated</t>
  </si>
  <si>
    <t>UT-467</t>
  </si>
  <si>
    <t>Thao tác ảnh không hợp lệ - thay ảnh thuộc phòng khác</t>
  </si>
  <si>
    <t>thay ảnh thuộc phòng khác</t>
  </si>
  <si>
    <t>UT-468</t>
  </si>
  <si>
    <t>Thao tác ảnh không hợp lệ - xóa ảnh không tồn tại</t>
  </si>
  <si>
    <t>xóa ảnh không tồn tại</t>
  </si>
  <si>
    <t>Ném BusinessException "Không tìm thấy ảnh"</t>
  </si>
  <si>
    <t>UT-469</t>
  </si>
  <si>
    <t>Thao tác ảnh không hợp lệ - thay ảnh nhưng không chọn file</t>
  </si>
  <si>
    <t>thay ảnh nhưng không chọn file</t>
  </si>
  <si>
    <t>Ném BusinessException "chọn file ảnh"</t>
  </si>
  <si>
    <t>UT-470</t>
  </si>
  <si>
    <t>Danh sách khách hàng chỉ gồm role=CUSTOMER</t>
  </si>
  <si>
    <t>Gọi findAllCustomers(), kiểm tra tham số gọi repository</t>
  </si>
  <si>
    <t>—</t>
  </si>
  <si>
    <t>Gọi đúng userRepository.findByRoleOrderByCreatedAtDesc(CUSTOMER)</t>
  </si>
  <si>
    <t>CustomerManagementServiceTest::findAllCustomers_onlyRequestsCustomerRole</t>
  </si>
  <si>
    <t>UT-471</t>
  </si>
  <si>
    <t>Không cho cập nhật loại khách hàng cho tài khoản không phải CUSTOMER</t>
  </si>
  <si>
    <t>Gọi updateCustomerType() khi user.role=STAFF</t>
  </si>
  <si>
    <t>Ném BusinessException; không gọi save()</t>
  </si>
  <si>
    <t>CustomerManagementServiceTest::updateCustomerType_nonCustomerRole_throws</t>
  </si>
  <si>
    <t>UT-472</t>
  </si>
  <si>
    <t>Cập nhật loại khách hàng thành công</t>
  </si>
  <si>
    <t>Gọi updateCustomerType() khi user.role=CUSTOMER</t>
  </si>
  <si>
    <t>customerType mới = VIP</t>
  </si>
  <si>
    <t>user.customerType = VIP; gọi save() đúng 1 lần</t>
  </si>
  <si>
    <t>CustomerManagementServiceTest::updateCustomerType_customerRole_success</t>
  </si>
  <si>
    <t>UT-473</t>
  </si>
  <si>
    <t>Walk-in: SĐT đã có tài khoản thì dùng lại, không tạo mới</t>
  </si>
  <si>
    <t>Gọi findOrCreateWalkInCustomer() khi findByPhoneNumber có giá trị (mock)</t>
  </si>
  <si>
    <t>SĐT đã tồn tại</t>
  </si>
  <si>
    <t>Trả về đúng user đã có; KHÔNG gọi save()</t>
  </si>
  <si>
    <t>CustomerManagementServiceTest::findOrCreateWalkInCustomer_existingPhone_returnsExisting</t>
  </si>
  <si>
    <t>UT-474</t>
  </si>
  <si>
    <t>Walk-in: SĐT mới tạo tài khoản với customerType=NEW</t>
  </si>
  <si>
    <t>Gọi findOrCreateWalkInCustomer() khi findByPhoneNumber rỗng (mock)</t>
  </si>
  <si>
    <t>SĐT chưa tồn tại</t>
  </si>
  <si>
    <t>Tạo user mới với role=CUSTOMER, customerType=NEW, email dạng "&lt;sđt&gt;@khachvanglai.local"</t>
  </si>
  <si>
    <t>CustomerManagementServiceTest::findOrCreateWalkInCustomer_newPhone_createsWithNewCustomerType</t>
  </si>
  <si>
    <t>UT-475</t>
  </si>
  <si>
    <t>Khách vãng lai qua web: email đã có tài khoản thì dùng lại</t>
  </si>
  <si>
    <t>Gọi findOrCreateGuestCustomer() khi findByEmail có giá trị (mock)</t>
  </si>
  <si>
    <t>email đã tồn tại</t>
  </si>
  <si>
    <t>CustomerManagementServiceTest::findOrCreateGuestCustomer_existingEmail_returnsExisting</t>
  </si>
  <si>
    <t>UT-476</t>
  </si>
  <si>
    <t>Nhãn CustomerType.NEW</t>
  </si>
  <si>
    <t>Gọi CustomerType/DiscountType.getVietnameseLabel()</t>
  </si>
  <si>
    <t>CustomerType.NEW</t>
  </si>
  <si>
    <t>Hiển thị "Khách lần đầu"</t>
  </si>
  <si>
    <t>SupportParamTest::otherLabels</t>
  </si>
  <si>
    <t>UT-477</t>
  </si>
  <si>
    <t>Nhãn CustomerType.REGULAR</t>
  </si>
  <si>
    <t>CustomerType.REGULAR</t>
  </si>
  <si>
    <t>Hiển thị "Khách quen"</t>
  </si>
  <si>
    <t>UT-478</t>
  </si>
  <si>
    <t>Nhãn CustomerType.VIP</t>
  </si>
  <si>
    <t>CustomerType.VIP</t>
  </si>
  <si>
    <t>Hiển thị "Khách VIP"</t>
  </si>
  <si>
    <t>UT-479</t>
  </si>
  <si>
    <t>Nhãn DiscountType.PERCENTAGE</t>
  </si>
  <si>
    <t>DiscountType.PERCENTAGE</t>
  </si>
  <si>
    <t>Hiển thị "Phần trăm"</t>
  </si>
  <si>
    <t>UT-480</t>
  </si>
  <si>
    <t>Nhãn DiscountType.FIXED_AMOUNT</t>
  </si>
  <si>
    <t>DiscountType.FIXED_AMOUNT</t>
  </si>
  <si>
    <t>Hiển thị "Số tiền cố định"</t>
  </si>
  <si>
    <t>UT-481</t>
  </si>
  <si>
    <t>Nhãn trạng thái đơn PENDING</t>
  </si>
  <si>
    <t>Gọi BookingStatus.getVietnameseLabel() và getBadgeClass()</t>
  </si>
  <si>
    <t>BookingStatus.PENDING</t>
  </si>
  <si>
    <t>Hiển thị "Chờ xác nhận", màu badge "bg-warning text-dark"</t>
  </si>
  <si>
    <t>SupportParamTest::bookingStatusLabels</t>
  </si>
  <si>
    <t>UT-482</t>
  </si>
  <si>
    <t>Nhãn trạng thái đơn CONFIRMED</t>
  </si>
  <si>
    <t>BookingStatus.CONFIRMED</t>
  </si>
  <si>
    <t>Hiển thị "Đã xác nhận", màu badge "bg-info text-dark"</t>
  </si>
  <si>
    <t>UT-483</t>
  </si>
  <si>
    <t>Nhãn trạng thái đơn CHECKED_IN</t>
  </si>
  <si>
    <t>BookingStatus.CHECKED_IN</t>
  </si>
  <si>
    <t>Hiển thị "Đã nhận phòng", màu badge "bg-success"</t>
  </si>
  <si>
    <t>UT-484</t>
  </si>
  <si>
    <t>Nhãn trạng thái đơn CHECKED_OUT</t>
  </si>
  <si>
    <t>BookingStatus.CHECKED_OUT</t>
  </si>
  <si>
    <t>Hiển thị "Đã trả phòng", màu badge "bg-secondary"</t>
  </si>
  <si>
    <t>UT-485</t>
  </si>
  <si>
    <t>Nhãn trạng thái đơn CANCELLED</t>
  </si>
  <si>
    <t>BookingStatus.CANCELLED</t>
  </si>
  <si>
    <t>Hiển thị "Đã hủy", màu badge "bg-danger"</t>
  </si>
  <si>
    <t>UT-486</t>
  </si>
  <si>
    <t>Mã hóa mật khẩu BCrypt</t>
  </si>
  <si>
    <t>Mã hóa mật khẩu bằng BCrypt rồi so khớp với chuỗi gốc và chuỗi sai</t>
  </si>
  <si>
    <t>password="admin123"</t>
  </si>
  <si>
    <t>Chuỗi lưu khác chuỗi gốc, khớp đúng mật khẩu, không khớp mật khẩu sai</t>
  </si>
  <si>
    <t>SupportParamTest::bcrypt</t>
  </si>
  <si>
    <t>UT-487</t>
  </si>
  <si>
    <t>password="staff123"</t>
  </si>
  <si>
    <t>UT-488</t>
  </si>
  <si>
    <t>password="customer123"</t>
  </si>
  <si>
    <t>UT-489</t>
  </si>
  <si>
    <t>password="Mật_khẩu tiếng Việt 2026"</t>
  </si>
  <si>
    <t>UT-490</t>
  </si>
  <si>
    <t>Tìm/tạo tài khoản khách vãng lai - tại quầy theo SĐT, đã có tài khoản = true</t>
  </si>
  <si>
    <t>Mock tìm tài khoản theo SĐT (khách tại quầy) hoặc email (khách vãng lai online), gọi findOrCreate...</t>
  </si>
  <si>
    <t>tại quầy theo SĐT, đã có = true</t>
  </si>
  <si>
    <t>Có rồi thì dùng lại, chưa có thì tạo mới vai trò CUSTOMER loại NEW</t>
  </si>
  <si>
    <t>SupportParamTest::findOrCreateGuest</t>
  </si>
  <si>
    <t>UT-491</t>
  </si>
  <si>
    <t>Tìm/tạo tài khoản khách vãng lai - tại quầy theo SĐT, đã có tài khoản = false</t>
  </si>
  <si>
    <t>tại quầy theo SĐT, đã có = false</t>
  </si>
  <si>
    <t>UT-492</t>
  </si>
  <si>
    <t>Tìm/tạo tài khoản khách vãng lai - online theo email, đã có tài khoản = true</t>
  </si>
  <si>
    <t>online theo email, đã có = true</t>
  </si>
  <si>
    <t>UT-493</t>
  </si>
  <si>
    <t>Tìm/tạo tài khoản khách vãng lai - online theo email, đã có tài khoản = false</t>
  </si>
  <si>
    <t>online theo email, đã có = false</t>
  </si>
  <si>
    <t>UT-494</t>
  </si>
  <si>
    <t>Tính tổng số trang với 0 bản ghi, 10 bản ghi/trang</t>
  </si>
  <si>
    <t>Gọi PaginationUtil.totalPages(tổng số bản ghi, 10)</t>
  </si>
  <si>
    <t>totalItems=0</t>
  </si>
  <si>
    <t>totalPages = 1</t>
  </si>
  <si>
    <t>SupportParamTest::totalPages</t>
  </si>
  <si>
    <t>UT-495</t>
  </si>
  <si>
    <t>Tính tổng số trang với 1 bản ghi, 10 bản ghi/trang</t>
  </si>
  <si>
    <t>totalItems=1</t>
  </si>
  <si>
    <t>UT-496</t>
  </si>
  <si>
    <t>Tính tổng số trang với 9 bản ghi, 10 bản ghi/trang</t>
  </si>
  <si>
    <t>totalItems=9</t>
  </si>
  <si>
    <t>UT-497</t>
  </si>
  <si>
    <t>Tính tổng số trang với 10 bản ghi, 10 bản ghi/trang</t>
  </si>
  <si>
    <t>totalItems=10</t>
  </si>
  <si>
    <t>UT-498</t>
  </si>
  <si>
    <t>Tính tổng số trang với 11 bản ghi, 10 bản ghi/trang</t>
  </si>
  <si>
    <t>totalItems=11</t>
  </si>
  <si>
    <t>totalPages = 2</t>
  </si>
  <si>
    <t>UT-499</t>
  </si>
  <si>
    <t>Tính tổng số trang với 20 bản ghi, 10 bản ghi/trang</t>
  </si>
  <si>
    <t>totalItems=20</t>
  </si>
  <si>
    <t>UT-500</t>
  </si>
  <si>
    <t>Tính tổng số trang với 21 bản ghi, 10 bản ghi/trang</t>
  </si>
  <si>
    <t>totalItems=21</t>
  </si>
  <si>
    <t>totalPages = 3</t>
  </si>
  <si>
    <t>UT-501</t>
  </si>
  <si>
    <t>Tính tổng số trang với 99 bản ghi, 10 bản ghi/trang</t>
  </si>
  <si>
    <t>totalItems=99</t>
  </si>
  <si>
    <t>totalPages = 10</t>
  </si>
  <si>
    <t>UT-502</t>
  </si>
  <si>
    <t>Tính tổng số trang với 100 bản ghi, 10 bản ghi/trang</t>
  </si>
  <si>
    <t>totalItems=100</t>
  </si>
  <si>
    <t>UT-503</t>
  </si>
  <si>
    <t>Tính tổng số trang với 101 bản ghi, 10 bản ghi/trang</t>
  </si>
  <si>
    <t>totalItems=101</t>
  </si>
  <si>
    <t>totalPages = 11</t>
  </si>
  <si>
    <t>UT-504</t>
  </si>
  <si>
    <t>Điều hướng sau đăng nhập - CUSTOMER tại cổng khách hàng</t>
  </si>
  <si>
    <t>Giả lập đăng nhập thành công bằng tài khoản vai trò R tại cổng P, gọi onAuthenticationSuccess()</t>
  </si>
  <si>
    <t>portal=khách hàng, role=CUSTOMER</t>
  </si>
  <si>
    <t>Chuyển tới "/customer/rooms"</t>
  </si>
  <si>
    <t>SupportParamTest::successHandlers</t>
  </si>
  <si>
    <t>UT-505</t>
  </si>
  <si>
    <t>Điều hướng sau đăng nhập - STAFF tại cổng khách hàng</t>
  </si>
  <si>
    <t>portal=khách hàng, role=STAFF</t>
  </si>
  <si>
    <t>Chuyển tới "/login?error=wrong_portal"</t>
  </si>
  <si>
    <t>UT-506</t>
  </si>
  <si>
    <t>Điều hướng sau đăng nhập - ADMIN tại cổng khách hàng</t>
  </si>
  <si>
    <t>portal=khách hàng, role=ADMIN</t>
  </si>
  <si>
    <t>UT-507</t>
  </si>
  <si>
    <t>Điều hướng sau đăng nhập - CUSTOMER tại cổng quản trị</t>
  </si>
  <si>
    <t>portal=quản trị, role=CUSTOMER</t>
  </si>
  <si>
    <t>Chuyển tới "/admin?error=wrong_portal"</t>
  </si>
  <si>
    <t>UT-508</t>
  </si>
  <si>
    <t>Điều hướng sau đăng nhập - STAFF tại cổng quản trị</t>
  </si>
  <si>
    <t>portal=quản trị, role=STAFF</t>
  </si>
  <si>
    <t>Chuyển tới "/admin/dashboard"</t>
  </si>
  <si>
    <t>UT-509</t>
  </si>
  <si>
    <t>Điều hướng sau đăng nhập - ADMIN tại cổng quản trị</t>
  </si>
  <si>
    <t>portal=quản trị, role=ADMIN</t>
  </si>
  <si>
    <t>UT-510</t>
  </si>
  <si>
    <t>Nạp tài khoản theo email</t>
  </si>
  <si>
    <t>Mock UserRepository.findByEmail, gọi CustomUserDetailsService.loadUserByUsername(email)</t>
  </si>
  <si>
    <t>email="admin@hotel.com", tồn tại = true</t>
  </si>
  <si>
    <t>Tồn tại thì trả về UserDetails, không thì ném UsernameNotFoundException</t>
  </si>
  <si>
    <t>SupportParamTest::loadUserByUsername</t>
  </si>
  <si>
    <t>UT-511</t>
  </si>
  <si>
    <t>email="staff@hotel.com", tồn tại = true</t>
  </si>
  <si>
    <t>UT-512</t>
  </si>
  <si>
    <t>email="khach@gmail.com", tồn tại = true</t>
  </si>
  <si>
    <t>UT-513</t>
  </si>
  <si>
    <t>email="khongco@gmail.com", tồn tại = false</t>
  </si>
  <si>
    <t>UT-514</t>
  </si>
  <si>
    <t>email="", tồn tại = false</t>
  </si>
  <si>
    <t>UT-515</t>
  </si>
  <si>
    <t>Đổi loại khách hàng cho tài khoản CUSTOMER sang NEW</t>
  </si>
  <si>
    <t>Mock tài khoản có vai trò R, nhân viên gọi updateCustomerType(id, loại mới)</t>
  </si>
  <si>
    <t>role=CUSTOMER, type=NEW</t>
  </si>
  <si>
    <t>SupportParamTest::updateCustomerType</t>
  </si>
  <si>
    <t>UT-516</t>
  </si>
  <si>
    <t>Đổi loại khách hàng cho tài khoản CUSTOMER sang REGULAR</t>
  </si>
  <si>
    <t>role=CUSTOMER, type=REGULAR</t>
  </si>
  <si>
    <t>UT-517</t>
  </si>
  <si>
    <t>Đổi loại khách hàng cho tài khoản CUSTOMER sang VIP</t>
  </si>
  <si>
    <t>role=CUSTOMER, type=VIP</t>
  </si>
  <si>
    <t>UT-518</t>
  </si>
  <si>
    <t>Đổi loại khách hàng cho tài khoản STAFF sang VIP</t>
  </si>
  <si>
    <t>role=STAFF, type=VIP</t>
  </si>
  <si>
    <t>UT-519</t>
  </si>
  <si>
    <t>Đổi loại khách hàng cho tài khoản ADMIN sang REGULAR</t>
  </si>
  <si>
    <t>role=ADMIN, type=REGULAR</t>
  </si>
  <si>
    <t>UT-520</t>
  </si>
  <si>
    <t>Cắt trang 1 của danh sách 25 phần tử</t>
  </si>
  <si>
    <t>Tạo danh sách 25 phần tử (1..25), gọi PaginationUtil.slice(list, page, 10)</t>
  </si>
  <si>
    <t>page=1</t>
  </si>
  <si>
    <t>Trả về 10 phần tử, bắt đầu từ phần tử 1</t>
  </si>
  <si>
    <t>SupportParamTest::slice</t>
  </si>
  <si>
    <t>UT-521</t>
  </si>
  <si>
    <t>Cắt trang 2 của danh sách 25 phần tử</t>
  </si>
  <si>
    <t>page=2</t>
  </si>
  <si>
    <t>Trả về 10 phần tử, bắt đầu từ phần tử 11</t>
  </si>
  <si>
    <t>UT-522</t>
  </si>
  <si>
    <t>Cắt trang 3 của danh sách 25 phần tử</t>
  </si>
  <si>
    <t>page=3</t>
  </si>
  <si>
    <t>Trả về 5 phần tử, bắt đầu từ phần tử 21</t>
  </si>
  <si>
    <t>UT-523</t>
  </si>
  <si>
    <t>Cắt trang 0 của danh sách 25 phần tử</t>
  </si>
  <si>
    <t>page=0</t>
  </si>
  <si>
    <t>UT-524</t>
  </si>
  <si>
    <t>Cắt trang -5 của danh sách 25 phần tử</t>
  </si>
  <si>
    <t>page=-5</t>
  </si>
  <si>
    <t>UT-525</t>
  </si>
  <si>
    <t>Cắt trang 4 của danh sách 25 phần tử</t>
  </si>
  <si>
    <t>page=4</t>
  </si>
  <si>
    <t>UT-526</t>
  </si>
  <si>
    <t>Cắt trang 99 của danh sách 25 phần tử</t>
  </si>
  <si>
    <t>page=99</t>
  </si>
  <si>
    <t>UT-527</t>
  </si>
  <si>
    <t>Tải ảnh định dạng .jpg</t>
  </si>
  <si>
    <t>Tạo MockMultipartFile tên anh.&lt;đuôi&gt;, gọi FileStorageService.store(file, "rooms")</t>
  </si>
  <si>
    <t>originalFilename=anh.jpg</t>
  </si>
  <si>
    <t>Chấp nhận = true; chấp nhận thì trả về /uploads/rooms/&lt;uuid&gt;.jpg và file tồn tại</t>
  </si>
  <si>
    <t>SupportParamTest::store_extensions</t>
  </si>
  <si>
    <t>UT-528</t>
  </si>
  <si>
    <t>Tải ảnh định dạng .jpeg</t>
  </si>
  <si>
    <t>originalFilename=anh.jpeg</t>
  </si>
  <si>
    <t>Chấp nhận = true; chấp nhận thì trả về /uploads/rooms/&lt;uuid&gt;.jpeg và file tồn tại</t>
  </si>
  <si>
    <t>UT-529</t>
  </si>
  <si>
    <t>Tải ảnh định dạng .png</t>
  </si>
  <si>
    <t>originalFilename=anh.png</t>
  </si>
  <si>
    <t>Chấp nhận = true; chấp nhận thì trả về /uploads/rooms/&lt;uuid&gt;.png và file tồn tại</t>
  </si>
  <si>
    <t>UT-530</t>
  </si>
  <si>
    <t>Tải ảnh định dạng .webp</t>
  </si>
  <si>
    <t>originalFilename=anh.webp</t>
  </si>
  <si>
    <t>Chấp nhận = true; chấp nhận thì trả về /uploads/rooms/&lt;uuid&gt;.webp và file tồn tại</t>
  </si>
  <si>
    <t>UT-531</t>
  </si>
  <si>
    <t>Tải ảnh định dạng .JPG</t>
  </si>
  <si>
    <t>originalFilename=anh.JPG</t>
  </si>
  <si>
    <t>Chấp nhận = true; chấp nhận thì trả về /uploads/rooms/&lt;uuid&gt;.JPG và file tồn tại</t>
  </si>
  <si>
    <t>UT-532</t>
  </si>
  <si>
    <t>Tải ảnh định dạng .PNG</t>
  </si>
  <si>
    <t>originalFilename=anh.PNG</t>
  </si>
  <si>
    <t>Chấp nhận = true; chấp nhận thì trả về /uploads/rooms/&lt;uuid&gt;.PNG và file tồn tại</t>
  </si>
  <si>
    <t>UT-533</t>
  </si>
  <si>
    <t>Tải ảnh định dạng .Jpeg</t>
  </si>
  <si>
    <t>originalFilename=anh.Jpeg</t>
  </si>
  <si>
    <t>Chấp nhận = true; chấp nhận thì trả về /uploads/rooms/&lt;uuid&gt;.Jpeg và file tồn tại</t>
  </si>
  <si>
    <t>UT-534</t>
  </si>
  <si>
    <t>Tải ảnh định dạng .gif</t>
  </si>
  <si>
    <t>originalFilename=anh.gif</t>
  </si>
  <si>
    <t>Chấp nhận = false; chấp nhận thì trả về /uploads/rooms/&lt;uuid&gt;.gif và file tồn tại</t>
  </si>
  <si>
    <t>UT-535</t>
  </si>
  <si>
    <t>Tải ảnh định dạng .bmp</t>
  </si>
  <si>
    <t>originalFilename=anh.bmp</t>
  </si>
  <si>
    <t>Chấp nhận = false; chấp nhận thì trả về /uploads/rooms/&lt;uuid&gt;.bmp và file tồn tại</t>
  </si>
  <si>
    <t>UT-536</t>
  </si>
  <si>
    <t>Tải ảnh định dạng .pdf</t>
  </si>
  <si>
    <t>originalFilename=anh.pdf</t>
  </si>
  <si>
    <t>Chấp nhận = false; chấp nhận thì trả về /uploads/rooms/&lt;uuid&gt;.pdf và file tồn tại</t>
  </si>
  <si>
    <t>UT-537</t>
  </si>
  <si>
    <t>Tải ảnh định dạng .exe</t>
  </si>
  <si>
    <t>originalFilename=anh.exe</t>
  </si>
  <si>
    <t>Chấp nhận = false; chấp nhận thì trả về /uploads/rooms/&lt;uuid&gt;.exe và file tồn tại</t>
  </si>
  <si>
    <t>UT-538</t>
  </si>
  <si>
    <t>Tải ảnh định dạng .txt</t>
  </si>
  <si>
    <t>originalFilename=anh.txt</t>
  </si>
  <si>
    <t>Chấp nhận = false; chấp nhận thì trả về /uploads/rooms/&lt;uuid&gt;.txt và file tồn tại</t>
  </si>
  <si>
    <t>UT-539</t>
  </si>
  <si>
    <t>Tải ảnh định dạng .svg</t>
  </si>
  <si>
    <t>originalFilename=anh.svg</t>
  </si>
  <si>
    <t>Chấp nhận = false; chấp nhận thì trả về /uploads/rooms/&lt;uuid&gt;.svg và file tồn tại</t>
  </si>
  <si>
    <t>UT-540</t>
  </si>
  <si>
    <t>Tải ảnh định dạng .html</t>
  </si>
  <si>
    <t>originalFilename=anh.html</t>
  </si>
  <si>
    <t>Chấp nhận = false; chấp nhận thì trả về /uploads/rooms/&lt;uuid&gt;.html và file tồn tại</t>
  </si>
  <si>
    <t>UT-541</t>
  </si>
  <si>
    <t>Tên file không hợp lệ</t>
  </si>
  <si>
    <t>Gọi store() với file có tên không có phần mở rộng hoặc tên đánh lừa</t>
  </si>
  <si>
    <t>originalFilename="anh"</t>
  </si>
  <si>
    <t>SupportParamTest::store_badNames</t>
  </si>
  <si>
    <t>UT-542</t>
  </si>
  <si>
    <t>originalFilename="anhjpg"</t>
  </si>
  <si>
    <t>UT-543</t>
  </si>
  <si>
    <t>originalFilename="anh.jpg.exe"</t>
  </si>
  <si>
    <t>UT-544</t>
  </si>
  <si>
    <t>originalFilename="virus.php"</t>
  </si>
  <si>
    <t>UT-545</t>
  </si>
  <si>
    <t>Đăng ký tài khoản - dữ liệu hợp lệ</t>
  </si>
  <si>
    <t>Mock existsByEmail, gọi UserService.registerCustomer()</t>
  </si>
  <si>
    <t>password="matkhau123", confirm="matkhau123", email đã tồn tại = false</t>
  </si>
  <si>
    <t>SupportParamTest::registerCustomer</t>
  </si>
  <si>
    <t>UT-546</t>
  </si>
  <si>
    <t>Đăng ký tài khoản - mật khẩu xác nhận khác</t>
  </si>
  <si>
    <t>password="matkhau123", confirm="matkhau321", email đã tồn tại = false</t>
  </si>
  <si>
    <t>UT-547</t>
  </si>
  <si>
    <t>Đăng ký tài khoản - khác chữ hoa/thường</t>
  </si>
  <si>
    <t>password="MatKhau123", confirm="matkhau123", email đã tồn tại = false</t>
  </si>
  <si>
    <t>UT-548</t>
  </si>
  <si>
    <t>Đăng ký tài khoản - email đã được đăng ký</t>
  </si>
  <si>
    <t>password="matkhau123", confirm="matkhau123", email đã tồn tại = true</t>
  </si>
  <si>
    <t>UT-549</t>
  </si>
  <si>
    <t>Dãy số trang hiển thị - trang 1/1</t>
  </si>
  <si>
    <t>Gọi PaginationUtil.pageNumbersToShow(trang hiện tại, tổng số trang); 0 nghĩa là dấu "..."</t>
  </si>
  <si>
    <t>current=1, total=1</t>
  </si>
  <si>
    <t>Hiển thị [1]</t>
  </si>
  <si>
    <t>SupportParamTest::pageNumbers</t>
  </si>
  <si>
    <t>UT-550</t>
  </si>
  <si>
    <t>Dãy số trang hiển thị - trang 1/5</t>
  </si>
  <si>
    <t>current=1, total=5</t>
  </si>
  <si>
    <t>Hiển thị [1,2,3,4,5]</t>
  </si>
  <si>
    <t>UT-551</t>
  </si>
  <si>
    <t>Dãy số trang hiển thị - trang 3/7</t>
  </si>
  <si>
    <t>current=3, total=7</t>
  </si>
  <si>
    <t>Hiển thị [1,2,3,4,5,6,7]</t>
  </si>
  <si>
    <t>UT-552</t>
  </si>
  <si>
    <t>Dãy số trang hiển thị - trang 1/10</t>
  </si>
  <si>
    <t>current=1, total=10</t>
  </si>
  <si>
    <t>Hiển thị [1,2,0,10]</t>
  </si>
  <si>
    <t>UT-553</t>
  </si>
  <si>
    <t>Dãy số trang hiển thị - trang 2/10</t>
  </si>
  <si>
    <t>current=2, total=10</t>
  </si>
  <si>
    <t>Hiển thị [1,2,3,0,10]</t>
  </si>
  <si>
    <t>UT-554</t>
  </si>
  <si>
    <t>Dãy số trang hiển thị - trang 3/10</t>
  </si>
  <si>
    <t>current=3, total=10</t>
  </si>
  <si>
    <t>Hiển thị [1,2,3,4,0,10]</t>
  </si>
  <si>
    <t>UT-555</t>
  </si>
  <si>
    <t>Dãy số trang hiển thị - trang 5/10</t>
  </si>
  <si>
    <t>current=5, total=10</t>
  </si>
  <si>
    <t>Hiển thị [1,0,4,5,6,0,10]</t>
  </si>
  <si>
    <t>UT-556</t>
  </si>
  <si>
    <t>Dãy số trang hiển thị - trang 8/10</t>
  </si>
  <si>
    <t>current=8, total=10</t>
  </si>
  <si>
    <t>Hiển thị [1,0,7,8,9,10]</t>
  </si>
  <si>
    <t>UT-557</t>
  </si>
  <si>
    <t>Dãy số trang hiển thị - trang 10/10</t>
  </si>
  <si>
    <t>current=10, total=10</t>
  </si>
  <si>
    <t>Hiển thị [1,0,9,10]</t>
  </si>
  <si>
    <t>UT-558</t>
  </si>
  <si>
    <t>Dãy số trang hiển thị - trang 50/100</t>
  </si>
  <si>
    <t>current=50, total=100</t>
  </si>
  <si>
    <t>Hiển thị [1,0,49,50,51,0,100]</t>
  </si>
  <si>
    <t>UT-559</t>
  </si>
  <si>
    <t>Xóa file ảnh</t>
  </si>
  <si>
    <t>Gọi FileStorageService.delete(url) với url theo bộ dữ liệu</t>
  </si>
  <si>
    <t>imageUrl=[]</t>
  </si>
  <si>
    <t>Không ném lỗi trong mọi trường hợp</t>
  </si>
  <si>
    <t>SupportParamTest::delete_neverThrows</t>
  </si>
  <si>
    <t>UT-560</t>
  </si>
  <si>
    <t>imageUrl=[ ]</t>
  </si>
  <si>
    <t>UT-561</t>
  </si>
  <si>
    <t>imageUrl=[/uploads/rooms/khongton.jpg]</t>
  </si>
  <si>
    <t>UT-562</t>
  </si>
  <si>
    <t>imageUrl=[/uploads/combos/abc.png]</t>
  </si>
  <si>
    <t>UT-563</t>
  </si>
  <si>
    <t>Quyền của tài khoản CUSTOMER</t>
  </si>
  <si>
    <t>Tạo CustomUserDetails bọc User có vai trò R, đọc quyền và thông tin đăng nhập</t>
  </si>
  <si>
    <t>authorities = [ROLE_CUSTOMER], username = email, tài khoản luôn ở trạng thái hoạt động</t>
  </si>
  <si>
    <t>SupportParamTest::customUserDetails</t>
  </si>
  <si>
    <t>UT-564</t>
  </si>
  <si>
    <t>Quyền của tài khoản STAFF</t>
  </si>
  <si>
    <t>authorities = [ROLE_STAFF], username = email, tài khoản luôn ở trạng thái hoạt động</t>
  </si>
  <si>
    <t>UT-565</t>
  </si>
  <si>
    <t>Quyền của tài khoản ADMIN</t>
  </si>
  <si>
    <t>authorities = [ROLE_ADMIN], username = email, tài khoản luôn ở trạng thái hoạt động</t>
  </si>
  <si>
    <t>UT-566</t>
  </si>
  <si>
    <t>Nhãn trạng thái phòng AVAILABLE</t>
  </si>
  <si>
    <t>Gọi RoomStatus.getVietnameseLabel()</t>
  </si>
  <si>
    <t>RoomStatus.AVAILABLE</t>
  </si>
  <si>
    <t>Hiển thị "Còn trống"</t>
  </si>
  <si>
    <t>SupportParamTest::roomStatusLabels</t>
  </si>
  <si>
    <t>UT-567</t>
  </si>
  <si>
    <t>Nhãn trạng thái phòng BOOKED</t>
  </si>
  <si>
    <t>RoomStatus.BOOKED</t>
  </si>
  <si>
    <t>Hiển thị "Đã được đặt"</t>
  </si>
  <si>
    <t>UT-568</t>
  </si>
  <si>
    <t>Nhãn trạng thái phòng OCCUPIED</t>
  </si>
  <si>
    <t>RoomStatus.OCCUPIED</t>
  </si>
  <si>
    <t>Hiển thị "Đang sử dụng"</t>
  </si>
  <si>
    <t>UT-569</t>
  </si>
  <si>
    <t>Nhãn trạng thái phòng MAINTENANCE</t>
  </si>
  <si>
    <t>RoomStatus.MAINTENANCE</t>
  </si>
  <si>
    <t>Hiển thị "Đang bảo trì"</t>
  </si>
  <si>
    <t>UT-570</t>
  </si>
  <si>
    <t>Nhãn trạng thái phòng NOT_READY</t>
  </si>
  <si>
    <t>RoomStatus.NOT_READY</t>
  </si>
  <si>
    <t>Hiển thị "Chưa sẵn sàng (đang dọn dẹp)"</t>
  </si>
  <si>
    <t>UT-571</t>
  </si>
  <si>
    <t>Cắt trang trên danh sách rỗng</t>
  </si>
  <si>
    <t>Gọi PaginationUtil.slice() trên danh sách rỗng</t>
  </si>
  <si>
    <t>Trả về danh sách rỗng, không lỗi</t>
  </si>
  <si>
    <t>SupportParamTest::slice_empty</t>
  </si>
  <si>
    <t>UT-572</t>
  </si>
  <si>
    <t>UT-573</t>
  </si>
  <si>
    <t>Không chọn ảnh</t>
  </si>
  <si>
    <t>Gọi store() với file null hoặc rỗng (không chọn ảnh)</t>
  </si>
  <si>
    <t>file null</t>
  </si>
  <si>
    <t>Trả về null, không lỗi</t>
  </si>
  <si>
    <t>SupportParamTest::store_emptyReturnsNull</t>
  </si>
  <si>
    <t>UT-574</t>
  </si>
  <si>
    <t>file rỗng (0 byte)</t>
  </si>
  <si>
    <t>UT-575</t>
  </si>
  <si>
    <t>Hỏi ưu đãi cho khách mới - kiểm tra mã WELCOME10</t>
  </si>
  <si>
    <t>Gọi answer() hỏi ưu đãi cho khách mới, dữ liệu có mã NEW, VIP và mã dùng chung</t>
  </si>
  <si>
    <t>câu hỏi: "Có ưu đãi gì cho người mới không"</t>
  </si>
  <si>
    <t>Có chứa WELCOME10 = true</t>
  </si>
  <si>
    <t>ChatbotServiceParamTest::answer_promotionForNewCustomers</t>
  </si>
  <si>
    <t>UT-576</t>
  </si>
  <si>
    <t>Hỏi ưu đãi cho khách mới - kiểm tra mã SUMMER50K</t>
  </si>
  <si>
    <t>Có chứa SUMMER50K = true</t>
  </si>
  <si>
    <t>UT-577</t>
  </si>
  <si>
    <t>Hỏi ưu đãi cho khách mới - kiểm tra mã VIP20</t>
  </si>
  <si>
    <t>Có chứa VIP20 = false</t>
  </si>
  <si>
    <t>UT-578</t>
  </si>
  <si>
    <t>câu hỏi: "khuyen mai cho khach moi lan dau"</t>
  </si>
  <si>
    <t>UT-579</t>
  </si>
  <si>
    <t>Hết phòng trong 7 ngày tới</t>
  </si>
  <si>
    <t>Giả lập loại phòng VIP không còn phòng trống trong 7 ngày, gọi answer()</t>
  </si>
  <si>
    <t>câu hỏi: "Phòng VIP còn phòng không"</t>
  </si>
  <si>
    <t>Trả lời "hiện không còn phòng trống"</t>
  </si>
  <si>
    <t>ChatbotServiceParamTest::answer_noAvailability</t>
  </si>
  <si>
    <t>UT-580</t>
  </si>
  <si>
    <t>câu hỏi: "het phong chua"</t>
  </si>
  <si>
    <t>UT-581</t>
  </si>
  <si>
    <t>Câu hỏi rỗng</t>
  </si>
  <si>
    <t>Gọi ChatbotService.answer() với câu hỏi rỗng</t>
  </si>
  <si>
    <t>message=[null]</t>
  </si>
  <si>
    <t>Trả lời gợi ý "Bạn muốn hỏi gì..."</t>
  </si>
  <si>
    <t>ChatbotServiceParamTest::answer_blank</t>
  </si>
  <si>
    <t>UT-582</t>
  </si>
  <si>
    <t>message=[]</t>
  </si>
  <si>
    <t>UT-583</t>
  </si>
  <si>
    <t>message=[   ]</t>
  </si>
  <si>
    <t>UT-584</t>
  </si>
  <si>
    <t>Dữ liệu trống - hỏi giá</t>
  </si>
  <si>
    <t>Giả lập kho dữ liệu trống (không có loại phòng/combo/mã giảm giá), gọi answer()</t>
  </si>
  <si>
    <t>câu hỏi: "Giá phòng bao nhiêu"</t>
  </si>
  <si>
    <t>Trả lời "chưa cập nhật loại phòng nào"</t>
  </si>
  <si>
    <t>ChatbotServiceParamTest::answer_emptyData</t>
  </si>
  <si>
    <t>UT-585</t>
  </si>
  <si>
    <t>Dữ liệu trống - hỏi combo</t>
  </si>
  <si>
    <t>câu hỏi: "Có combo gì"</t>
  </si>
  <si>
    <t>Trả lời "chưa có combo dịch vụ ăn uống nào"</t>
  </si>
  <si>
    <t>UT-586</t>
  </si>
  <si>
    <t>Dữ liệu trống - hỏi mã giảm giá</t>
  </si>
  <si>
    <t>câu hỏi: "Có mã giảm giá không"</t>
  </si>
  <si>
    <t>Trả lời "chưa có mã giảm giá nào"</t>
  </si>
  <si>
    <t>UT-587</t>
  </si>
  <si>
    <t>Dữ liệu trống - hỏi ưu đãi khách mới</t>
  </si>
  <si>
    <t>câu hỏi: "Ưu đãi cho người mới"</t>
  </si>
  <si>
    <t>Trả lời "chưa có mã ưu đãi riêng cho khách hàng mới"</t>
  </si>
  <si>
    <t>UT-588</t>
  </si>
  <si>
    <t>Chatbot hiểu ý định [Hỏi giá]</t>
  </si>
  <si>
    <t>Gọi ChatbotService.answer(câu hỏi) với dữ liệu phòng/combo/mã giảm giá giả lập, kiểm tra nội dung trả lời</t>
  </si>
  <si>
    <t>câu hỏi: "Giá phòng bao nhiêu?"</t>
  </si>
  <si>
    <t>Câu trả lời chứa "Giá phòng hiện tại:"</t>
  </si>
  <si>
    <t>ChatbotServiceParamTest::answer_detectsIntent</t>
  </si>
  <si>
    <t>UT-589</t>
  </si>
  <si>
    <t>Chatbot hiểu ý định [Hỏi giá (không dấu)]</t>
  </si>
  <si>
    <t>câu hỏi: "gia phong bao nhieu tien"</t>
  </si>
  <si>
    <t>UT-590</t>
  </si>
  <si>
    <t>Chatbot hiểu ý định [Hỏi giá theo loại phòng (chữ hoa)]</t>
  </si>
  <si>
    <t>câu hỏi: "GIÁ PHÒNG VIP"</t>
  </si>
  <si>
    <t>Câu trả lời chứa "Phòng VIP: 500.000 - 600.000 VND/đêm"</t>
  </si>
  <si>
    <t>UT-591</t>
  </si>
  <si>
    <t>Chatbot hiểu ý định [Hỏi giá phòng thường]</t>
  </si>
  <si>
    <t>câu hỏi: "phòng thường bao nhiêu 1 đêm"</t>
  </si>
  <si>
    <t>Câu trả lời chứa "Phòng thường: 200.000 VND/đêm"</t>
  </si>
  <si>
    <t>UT-592</t>
  </si>
  <si>
    <t>Chatbot hiểu ý định [Hỏi phòng trống]</t>
  </si>
  <si>
    <t>câu hỏi: "Còn phòng trống không?"</t>
  </si>
  <si>
    <t>Câu trả lời chứa "trong 7 ngày tới"</t>
  </si>
  <si>
    <t>UT-593</t>
  </si>
  <si>
    <t>Chatbot hiểu ý định [Hỏi phòng trống (không dấu)]</t>
  </si>
  <si>
    <t>câu hỏi: "con phong khong ban"</t>
  </si>
  <si>
    <t>UT-594</t>
  </si>
  <si>
    <t>Chatbot hiểu ý định [Hỏi phòng trống theo loại]</t>
  </si>
  <si>
    <t>câu hỏi: "Ngày nào trống phòng VIP"</t>
  </si>
  <si>
    <t>Câu trả lời chứa "Phòng VIP trong 7 ngày tới"</t>
  </si>
  <si>
    <t>UT-595</t>
  </si>
  <si>
    <t>Chatbot hiểu ý định [Hỏi đặt cọc]</t>
  </si>
  <si>
    <t>câu hỏi: "Có cần đặt cọc không?"</t>
  </si>
  <si>
    <t>Câu trả lời chứa "KHÔNG yêu cầu đặt cọc"</t>
  </si>
  <si>
    <t>UT-596</t>
  </si>
  <si>
    <t>Chatbot hiểu ý định [Hỏi đặt cọc (không dấu)]</t>
  </si>
  <si>
    <t>câu hỏi: "dat coc bao nhieu"</t>
  </si>
  <si>
    <t>UT-597</t>
  </si>
  <si>
    <t>Chatbot hiểu ý định [Hỏi đặt cọc (chữ hoa)]</t>
  </si>
  <si>
    <t>câu hỏi: "ĐẶT CỌC TRƯỚC KHÔNG"</t>
  </si>
  <si>
    <t>UT-598</t>
  </si>
  <si>
    <t>Chatbot hiểu ý định [Hỏi thanh toán]</t>
  </si>
  <si>
    <t>câu hỏi: "Thanh toán bằng hình thức nào?"</t>
  </si>
  <si>
    <t>Câu trả lời chứa "Tiền mặt, Chuyển khoản ngân hàng"</t>
  </si>
  <si>
    <t>UT-599</t>
  </si>
  <si>
    <t>Chatbot hiểu ý định [Hỏi thanh toán (không dấu)]</t>
  </si>
  <si>
    <t>câu hỏi: "tra tien the nao"</t>
  </si>
  <si>
    <t>Câu trả lời chứa "Thanh toán online"</t>
  </si>
  <si>
    <t>UT-600</t>
  </si>
  <si>
    <t>Chatbot hiểu ý định [Hỏi thanh toán (chữ hoa)]</t>
  </si>
  <si>
    <t>câu hỏi: "PHƯƠNG THỨC THANH TOÁN"</t>
  </si>
  <si>
    <t>Câu trả lời chứa "Tiền mặt"</t>
  </si>
  <si>
    <t>UT-601</t>
  </si>
  <si>
    <t>Chatbot hiểu ý định [Hỏi tiện ích]</t>
  </si>
  <si>
    <t>câu hỏi: "Khách sạn có hồ bơi không?"</t>
  </si>
  <si>
    <t>Câu trả lời chứa "Hồ bơi"</t>
  </si>
  <si>
    <t>UT-602</t>
  </si>
  <si>
    <t>Chatbot hiểu ý định [Hỏi tiện ích (không dấu)]</t>
  </si>
  <si>
    <t>câu hỏi: "co phong gym khong"</t>
  </si>
  <si>
    <t>Câu trả lời chứa "Phòng gym"</t>
  </si>
  <si>
    <t>UT-603</t>
  </si>
  <si>
    <t>Chatbot hiểu ý định [Hỏi tiện ích riêng của loại phòng]</t>
  </si>
  <si>
    <t>câu hỏi: "Tiện ích phòng VIP có gì"</t>
  </si>
  <si>
    <t>Câu trả lời chứa "Tiện ích riêng của Phòng VIP: Bồn tắm"</t>
  </si>
  <si>
    <t>UT-604</t>
  </si>
  <si>
    <t>Chatbot hiểu ý định [Hỏi dịch vụ đưa đón]</t>
  </si>
  <si>
    <t>câu hỏi: "Có đưa đón sân bay không"</t>
  </si>
  <si>
    <t>Câu trả lời chứa "Đưa đón sân bay"</t>
  </si>
  <si>
    <t>UT-605</t>
  </si>
  <si>
    <t>Chatbot hiểu ý định [Hỏi combo]</t>
  </si>
  <si>
    <t>câu hỏi: "Có combo ăn uống gì?"</t>
  </si>
  <si>
    <t>Câu trả lời chứa "Lẩu: 399.000 VND (Lẩu thái 2 người)"</t>
  </si>
  <si>
    <t>UT-606</t>
  </si>
  <si>
    <t>Chatbot hiểu ý định [Hỏi combo (không dấu)]</t>
  </si>
  <si>
    <t>câu hỏi: "co buffet khong"</t>
  </si>
  <si>
    <t>Câu trả lời chứa "Nướng BBQ: 299.000 VND"</t>
  </si>
  <si>
    <t>UT-607</t>
  </si>
  <si>
    <t>Chatbot hiểu ý định [Hỏi combo (chữ hoa)]</t>
  </si>
  <si>
    <t>câu hỏi: "ĐỒ ĂN CÓ GÌ"</t>
  </si>
  <si>
    <t>Câu trả lời chứa "Các combo dịch vụ hiện có"</t>
  </si>
  <si>
    <t>UT-608</t>
  </si>
  <si>
    <t>Chatbot hiểu ý định [Hỏi khuyến mãi]</t>
  </si>
  <si>
    <t>câu hỏi: "Có mã giảm giá không?"</t>
  </si>
  <si>
    <t>Câu trả lời chứa "Các mã ưu đãi đang áp dụng"</t>
  </si>
  <si>
    <t>UT-609</t>
  </si>
  <si>
    <t>Chatbot hiểu ý định [Hỏi khuyến mãi (không dấu)]</t>
  </si>
  <si>
    <t>câu hỏi: "khuyen mai gi khong"</t>
  </si>
  <si>
    <t>Câu trả lời chứa "VIP20: giảm 20%"</t>
  </si>
  <si>
    <t>UT-610</t>
  </si>
  <si>
    <t>Chatbot hiểu ý định [Hỏi voucher]</t>
  </si>
  <si>
    <t>câu hỏi: "Có voucher nào không"</t>
  </si>
  <si>
    <t>Câu trả lời chứa "SUMMER50K: giảm 50.000 VND"</t>
  </si>
  <si>
    <t>UT-611</t>
  </si>
  <si>
    <t>Chatbot hiểu ý định [Hỏi địa chỉ]</t>
  </si>
  <si>
    <t>câu hỏi: "Khách sạn ở đâu?"</t>
  </si>
  <si>
    <t>Câu trả lời chứa "123 đường Phan Tây Nhạc"</t>
  </si>
  <si>
    <t>UT-612</t>
  </si>
  <si>
    <t>Chatbot hiểu ý định [Hỏi địa chỉ (không dấu)]</t>
  </si>
  <si>
    <t>câu hỏi: "dia chi khach san"</t>
  </si>
  <si>
    <t>Câu trả lời chứa "Từ Liêm, Hà Nội"</t>
  </si>
  <si>
    <t>UT-613</t>
  </si>
  <si>
    <t>Chatbot hiểu ý định [Hỏi vị trí (chữ hoa)]</t>
  </si>
  <si>
    <t>câu hỏi: "VỊ TRÍ KHÁCH SẠN"</t>
  </si>
  <si>
    <t>Câu trả lời chứa "Địa chỉ Khách sạn EAUT"</t>
  </si>
  <si>
    <t>UT-614</t>
  </si>
  <si>
    <t>Chatbot hiểu ý định [Hỏi liên hệ]</t>
  </si>
  <si>
    <t>câu hỏi: "Số điện thoại liên hệ là gì?"</t>
  </si>
  <si>
    <t>Câu trả lời chứa "0338932368"</t>
  </si>
  <si>
    <t>UT-615</t>
  </si>
  <si>
    <t>Chatbot hiểu ý định [Hỏi hotline (không dấu)]</t>
  </si>
  <si>
    <t>câu hỏi: "hotline khach san"</t>
  </si>
  <si>
    <t>UT-616</t>
  </si>
  <si>
    <t>Chatbot hiểu ý định [Hỏi email]</t>
  </si>
  <si>
    <t>câu hỏi: "cho xin email"</t>
  </si>
  <si>
    <t>Câu trả lời chứa "khachsanEAUT@gmail.com"</t>
  </si>
  <si>
    <t>UT-617</t>
  </si>
  <si>
    <t>Chatbot hiểu ý định [Hỏi giờ nhận phòng]</t>
  </si>
  <si>
    <t>câu hỏi: "Mấy giờ nhận phòng?"</t>
  </si>
  <si>
    <t>Câu trả lời chứa "Giờ nhận phòng tiêu chuẩn: 12h trưa"</t>
  </si>
  <si>
    <t>UT-618</t>
  </si>
  <si>
    <t>Chatbot hiểu ý định [Hỏi giờ trả phòng (không dấu)]</t>
  </si>
  <si>
    <t>câu hỏi: "may gio tra phong"</t>
  </si>
  <si>
    <t>Câu trả lời chứa "Giờ trả phòng tiêu chuẩn: 9h sáng"</t>
  </si>
  <si>
    <t>UT-619</t>
  </si>
  <si>
    <t>Chatbot hiểu ý định [Hỏi check-in (chữ hoa)]</t>
  </si>
  <si>
    <t>câu hỏi: "CHECK IN LÚC NÀO"</t>
  </si>
  <si>
    <t>Câu trả lời chứa "Giờ nhận phòng tiêu chuẩn"</t>
  </si>
  <si>
    <t>UT-620</t>
  </si>
  <si>
    <t>Chatbot hiểu ý định [Chào hỏi]</t>
  </si>
  <si>
    <t>câu hỏi: "Xin chào"</t>
  </si>
  <si>
    <t>Câu trả lời chứa "Xin chào! Mình là trợ lý ảo"</t>
  </si>
  <si>
    <t>UT-621</t>
  </si>
  <si>
    <t>Chatbot hiểu ý định [Chào hỏi tiếng Anh]</t>
  </si>
  <si>
    <t>câu hỏi: "hello"</t>
  </si>
  <si>
    <t>Câu trả lời chứa "trợ lý ảo của Khách sạn EAUT"</t>
  </si>
  <si>
    <t>UT-622</t>
  </si>
  <si>
    <t>Chatbot hiểu ý định [Chào hỏi ngắn]</t>
  </si>
  <si>
    <t>câu hỏi: "hi"</t>
  </si>
  <si>
    <t>Câu trả lời chứa "trợ lý ảo"</t>
  </si>
  <si>
    <t>UT-623</t>
  </si>
  <si>
    <t>Chatbot hiểu ý định [Chỉ nhắc tên loại phòng]</t>
  </si>
  <si>
    <t>câu hỏi: "Phòng VIP"</t>
  </si>
  <si>
    <t>UT-624</t>
  </si>
  <si>
    <t>Chatbot hiểu ý định [Chỉ nhắc tên loại phòng (không dấu)]</t>
  </si>
  <si>
    <t>câu hỏi: "phong thuong"</t>
  </si>
  <si>
    <t>Câu trả lời chứa "Phòng thường trong 7 ngày tới"</t>
  </si>
  <si>
    <t>UT-625</t>
  </si>
  <si>
    <t>Chatbot hiểu ý định [Câu hỏi không hiểu]</t>
  </si>
  <si>
    <t>câu hỏi: "abc xyz"</t>
  </si>
  <si>
    <t>Câu trả lời chứa "Mình có thể giúp bạn tra cứu"</t>
  </si>
  <si>
    <t>UT-626</t>
  </si>
  <si>
    <t>Chatbot hiểu ý định [Câu hỏi ngoài phạm vi]</t>
  </si>
  <si>
    <t>câu hỏi: "thời tiết hôm nay"</t>
  </si>
  <si>
    <t>Câu trả lời chứa "Phòng VIP giá bao nhiêu?"</t>
  </si>
  <si>
    <t>UT-627</t>
  </si>
  <si>
    <t>Chatbot hiểu ý định [Hỏi kết hợp nhiều ý]</t>
  </si>
  <si>
    <t>câu hỏi: "Giá phòng và địa chỉ ở đâu"</t>
  </si>
  <si>
    <t>UT-628</t>
  </si>
  <si>
    <t>Combo - số người áp dụng -2</t>
  </si>
  <si>
    <t>Tạo ComboRequest hợp lệ, gán số người áp dụng tối đa, gọi Validator.validate()</t>
  </si>
  <si>
    <t>maxGuests=-2</t>
  </si>
  <si>
    <t>DtoValidationParamTest::combo_maxGuestsBoundary</t>
  </si>
  <si>
    <t>UT-629</t>
  </si>
  <si>
    <t>Combo - số người áp dụng 0</t>
  </si>
  <si>
    <t>maxGuests=0</t>
  </si>
  <si>
    <t>UT-630</t>
  </si>
  <si>
    <t>Combo - số người áp dụng 1</t>
  </si>
  <si>
    <t>maxGuests=1</t>
  </si>
  <si>
    <t>UT-631</t>
  </si>
  <si>
    <t>Combo - số người áp dụng 2</t>
  </si>
  <si>
    <t>maxGuests=2</t>
  </si>
  <si>
    <t>UT-632</t>
  </si>
  <si>
    <t>Combo - số người áp dụng 6</t>
  </si>
  <si>
    <t>maxGuests=6</t>
  </si>
  <si>
    <t>UT-633</t>
  </si>
  <si>
    <t>Combo - giá combo -1 VND</t>
  </si>
  <si>
    <t>Tạo ComboRequest (tên Lẩu), gán giá combo, gọi Validator.validate()</t>
  </si>
  <si>
    <t>price=-1</t>
  </si>
  <si>
    <t>DtoValidationParamTest::combo_priceBoundary</t>
  </si>
  <si>
    <t>UT-634</t>
  </si>
  <si>
    <t>Combo - giá combo -399000 VND</t>
  </si>
  <si>
    <t>price=-399000</t>
  </si>
  <si>
    <t>UT-635</t>
  </si>
  <si>
    <t>Combo - giá combo 0 VND</t>
  </si>
  <si>
    <t>price=0</t>
  </si>
  <si>
    <t>UT-636</t>
  </si>
  <si>
    <t>Combo - giá combo 199000 VND</t>
  </si>
  <si>
    <t>price=199000</t>
  </si>
  <si>
    <t>UT-637</t>
  </si>
  <si>
    <t>Combo - giá combo 399000 VND</t>
  </si>
  <si>
    <t>price=399000</t>
  </si>
  <si>
    <t>UT-638</t>
  </si>
  <si>
    <t>Xác nhận đặt phòng - họ tên người nhận bỏ trống</t>
  </si>
  <si>
    <t>Tạo BookingConfirmRequest hợp lệ, để trống họ tên người nhận phòng, gọi Validator.validate()</t>
  </si>
  <si>
    <t>Có vi phạm @NotBlank trên guestName</t>
  </si>
  <si>
    <t>DtoValidationParamTest::confirm_blankName_rejected</t>
  </si>
  <si>
    <t>UT-639</t>
  </si>
  <si>
    <t>UT-640</t>
  </si>
  <si>
    <t>guestName=[  ]</t>
  </si>
  <si>
    <t>UT-641</t>
  </si>
  <si>
    <t>Xác nhận đặt phòng - mã giảm giá là trường không bắt buộc</t>
  </si>
  <si>
    <t>Tạo BookingConfirmRequest hợp lệ, gán discountCode tùy chọn, gọi Validator.validate()</t>
  </si>
  <si>
    <t>Không có vi phạm nào</t>
  </si>
  <si>
    <t>DtoValidationParamTest::confirm_discountCodeOptional</t>
  </si>
  <si>
    <t>UT-642</t>
  </si>
  <si>
    <t>UT-643</t>
  </si>
  <si>
    <t>discountCode=[WELCOME10]</t>
  </si>
  <si>
    <t>UT-644</t>
  </si>
  <si>
    <t>Phòng - số phòng bỏ trống bị từ chối</t>
  </si>
  <si>
    <t>Tạo RoomRequest hợp lệ, để trống số phòng, gọi Validator.validate()</t>
  </si>
  <si>
    <t>roomNumber=[null]</t>
  </si>
  <si>
    <t>Có vi phạm @NotBlank trên roomNumber</t>
  </si>
  <si>
    <t>DtoValidationParamTest::room_blankNumber_rejected</t>
  </si>
  <si>
    <t>UT-645</t>
  </si>
  <si>
    <t>roomNumber=[]</t>
  </si>
  <si>
    <t>UT-646</t>
  </si>
  <si>
    <t>roomNumber=[  ]</t>
  </si>
  <si>
    <t>UT-647</t>
  </si>
  <si>
    <t>Phòng - giá phòng -100000 VND</t>
  </si>
  <si>
    <t>Tạo RoomRequest (số phòng 101, loại phòng 1), gán giá, gọi Validator.validate()</t>
  </si>
  <si>
    <t>price=-100000</t>
  </si>
  <si>
    <t>DtoValidationParamTest::room_priceBoundary</t>
  </si>
  <si>
    <t>UT-648</t>
  </si>
  <si>
    <t>Phòng - giá phòng -1 VND</t>
  </si>
  <si>
    <t>UT-649</t>
  </si>
  <si>
    <t>Phòng - giá phòng 0 VND</t>
  </si>
  <si>
    <t>UT-650</t>
  </si>
  <si>
    <t>Phòng - giá phòng 0.01 VND</t>
  </si>
  <si>
    <t>price=0.01</t>
  </si>
  <si>
    <t>UT-651</t>
  </si>
  <si>
    <t>Phòng - giá phòng 1 VND</t>
  </si>
  <si>
    <t>price=1</t>
  </si>
  <si>
    <t>UT-652</t>
  </si>
  <si>
    <t>Phòng - giá phòng 200000 VND</t>
  </si>
  <si>
    <t>price=200000</t>
  </si>
  <si>
    <t>UT-653</t>
  </si>
  <si>
    <t>Phòng - giá phòng 799000 VND</t>
  </si>
  <si>
    <t>price=799000</t>
  </si>
  <si>
    <t>UT-654</t>
  </si>
  <si>
    <t>Phòng - giá phòng 99999999 VND</t>
  </si>
  <si>
    <t>price=99999999</t>
  </si>
  <si>
    <t>UT-655</t>
  </si>
  <si>
    <t>Đăng ký - số điện thoại sai định dạng bị từ chối</t>
  </si>
  <si>
    <t>Tạo RegisterRequest hợp lệ, gán phoneNumber sai định dạng, gọi Validator.validate()</t>
  </si>
  <si>
    <t>phoneNumber="123"</t>
  </si>
  <si>
    <t>Có vi phạm @Pattern/@NotBlank trên phoneNumber</t>
  </si>
  <si>
    <t>DtoValidationParamTest::register_invalidPhone_rejected</t>
  </si>
  <si>
    <t>UT-656</t>
  </si>
  <si>
    <t>phoneNumber="090123456"</t>
  </si>
  <si>
    <t>UT-657</t>
  </si>
  <si>
    <t>phoneNumber="09012345678"</t>
  </si>
  <si>
    <t>UT-658</t>
  </si>
  <si>
    <t>UT-659</t>
  </si>
  <si>
    <t>phoneNumber="+84901234567"</t>
  </si>
  <si>
    <t>UT-660</t>
  </si>
  <si>
    <t>phoneNumber="0901 234 567"</t>
  </si>
  <si>
    <t>UT-661</t>
  </si>
  <si>
    <t>phoneNumber="090-123-4567"</t>
  </si>
  <si>
    <t>UT-662</t>
  </si>
  <si>
    <t>phoneNumber="abcdefghij"</t>
  </si>
  <si>
    <t>UT-663</t>
  </si>
  <si>
    <t>phoneNumber="09o1234567"</t>
  </si>
  <si>
    <t>UT-664</t>
  </si>
  <si>
    <t>phoneNumber=" 0901234567"</t>
  </si>
  <si>
    <t>UT-665</t>
  </si>
  <si>
    <t>phoneNumber="0901234567 "</t>
  </si>
  <si>
    <t>UT-666</t>
  </si>
  <si>
    <t>phoneNumber="84901234567"</t>
  </si>
  <si>
    <t>UT-667</t>
  </si>
  <si>
    <t>phoneNumber="090123456a"</t>
  </si>
  <si>
    <t>UT-668</t>
  </si>
  <si>
    <t>phoneNumber="０９０１２３４５６７"</t>
  </si>
  <si>
    <t>UT-669</t>
  </si>
  <si>
    <t>Loại phòng - sức chứa -1 người</t>
  </si>
  <si>
    <t>Tạo RoomTypeRequest hợp lệ, gán sức chứa, gọi Validator.validate()</t>
  </si>
  <si>
    <t>maxGuests=-1</t>
  </si>
  <si>
    <t>DtoValidationParamTest::roomType_maxGuestsBoundary</t>
  </si>
  <si>
    <t>UT-670</t>
  </si>
  <si>
    <t>Loại phòng - sức chứa 0 người</t>
  </si>
  <si>
    <t>UT-671</t>
  </si>
  <si>
    <t>Loại phòng - sức chứa 1 người</t>
  </si>
  <si>
    <t>UT-672</t>
  </si>
  <si>
    <t>Loại phòng - sức chứa 2 người</t>
  </si>
  <si>
    <t>UT-673</t>
  </si>
  <si>
    <t>Loại phòng - sức chứa 4 người</t>
  </si>
  <si>
    <t>maxGuests=4</t>
  </si>
  <si>
    <t>UT-674</t>
  </si>
  <si>
    <t>Loại phòng - sức chứa 10 người</t>
  </si>
  <si>
    <t>maxGuests=10</t>
  </si>
  <si>
    <t>UT-675</t>
  </si>
  <si>
    <t>Loại phòng - giá cơ bản -1 VND</t>
  </si>
  <si>
    <t>Tạo RoomTypeRequest hợp lệ, gán giá cơ bản, gọi Validator.validate()</t>
  </si>
  <si>
    <t>basePrice=-1</t>
  </si>
  <si>
    <t>DtoValidationParamTest::roomType_basePriceBoundary</t>
  </si>
  <si>
    <t>UT-676</t>
  </si>
  <si>
    <t>Loại phòng - giá cơ bản 0 VND</t>
  </si>
  <si>
    <t>basePrice=0</t>
  </si>
  <si>
    <t>UT-677</t>
  </si>
  <si>
    <t>Loại phòng - giá cơ bản 0.5 VND</t>
  </si>
  <si>
    <t>basePrice=0.5</t>
  </si>
  <si>
    <t>UT-678</t>
  </si>
  <si>
    <t>Loại phòng - giá cơ bản 100000 VND</t>
  </si>
  <si>
    <t>basePrice=100000</t>
  </si>
  <si>
    <t>UT-679</t>
  </si>
  <si>
    <t>Loại phòng - giá cơ bản 1500000 VND</t>
  </si>
  <si>
    <t>basePrice=1500000</t>
  </si>
  <si>
    <t>UT-680</t>
  </si>
  <si>
    <t>Đăng ký - mật khẩu bỏ trống bị từ chối</t>
  </si>
  <si>
    <t>Tạo RegisterRequest hợp lệ, để trống mật khẩu, gọi Validator.validate()</t>
  </si>
  <si>
    <t>password=[null]</t>
  </si>
  <si>
    <t>Có vi phạm trên password</t>
  </si>
  <si>
    <t>DtoValidationParamTest::register_blankPassword_rejected</t>
  </si>
  <si>
    <t>UT-681</t>
  </si>
  <si>
    <t>password=[]</t>
  </si>
  <si>
    <t>UT-682</t>
  </si>
  <si>
    <t>password=[      ]</t>
  </si>
  <si>
    <t>UT-683</t>
  </si>
  <si>
    <t>Đăng ký - số điện thoại hợp lệ được chấp nhận</t>
  </si>
  <si>
    <t>Tạo RegisterRequest hợp lệ, gán phoneNumber theo bộ dữ liệu, gọi Validator.validate()</t>
  </si>
  <si>
    <t>phoneNumber="0337196255"</t>
  </si>
  <si>
    <t>Không có vi phạm trên trường phoneNumber</t>
  </si>
  <si>
    <t>DtoValidationParamTest::register_validPhone_accepted</t>
  </si>
  <si>
    <t>UT-684</t>
  </si>
  <si>
    <t>phoneNumber="0901234567"</t>
  </si>
  <si>
    <t>UT-685</t>
  </si>
  <si>
    <t>phoneNumber="0912345678"</t>
  </si>
  <si>
    <t>UT-686</t>
  </si>
  <si>
    <t>phoneNumber="0987654321"</t>
  </si>
  <si>
    <t>UT-687</t>
  </si>
  <si>
    <t>phoneNumber="0353000111"</t>
  </si>
  <si>
    <t>UT-688</t>
  </si>
  <si>
    <t>phoneNumber="0700000000"</t>
  </si>
  <si>
    <t>UT-689</t>
  </si>
  <si>
    <t>phoneNumber="0799999999"</t>
  </si>
  <si>
    <t>UT-690</t>
  </si>
  <si>
    <t>phoneNumber="0811223344"</t>
  </si>
  <si>
    <t>UT-691</t>
  </si>
  <si>
    <t>phoneNumber="0868686868"</t>
  </si>
  <si>
    <t>UT-692</t>
  </si>
  <si>
    <t>phoneNumber="0000000000"</t>
  </si>
  <si>
    <t>UT-693</t>
  </si>
  <si>
    <t>Đăng ký - số điện thoại bỏ trống bị từ chối</t>
  </si>
  <si>
    <t>Tạo RegisterRequest hợp lệ, để trống phoneNumber, gọi Validator.validate()</t>
  </si>
  <si>
    <t>phoneNumber=[null]</t>
  </si>
  <si>
    <t>Có vi phạm @NotBlank trên phoneNumber</t>
  </si>
  <si>
    <t>DtoValidationParamTest::register_blankPhone_rejected</t>
  </si>
  <si>
    <t>UT-694</t>
  </si>
  <si>
    <t>phoneNumber=[]</t>
  </si>
  <si>
    <t>UT-695</t>
  </si>
  <si>
    <t>phoneNumber=[   ]</t>
  </si>
  <si>
    <t>UT-696</t>
  </si>
  <si>
    <t>Combo - bỏ trống số người áp dụng (không giới hạn)</t>
  </si>
  <si>
    <t>Tạo ComboRequest hợp lệ, để trống số người áp dụng, gọi Validator.validate()</t>
  </si>
  <si>
    <t>name="Lẩu", maxGuests=null</t>
  </si>
  <si>
    <t>DtoValidationParamTest::combo_nullMaxGuests_accepted</t>
  </si>
  <si>
    <t>UT-697</t>
  </si>
  <si>
    <t>name="Phòng thường", maxGuests=null</t>
  </si>
  <si>
    <t>UT-698</t>
  </si>
  <si>
    <t>Phòng - không chọn loại phòng bị từ chối</t>
  </si>
  <si>
    <t>Tạo RoomRequest hợp lệ nhưng không chọn loại phòng, gọi Validator.validate()</t>
  </si>
  <si>
    <t>roomNumber="101", roomTypeId=null</t>
  </si>
  <si>
    <t>Có vi phạm @NotNull trên roomTypeId</t>
  </si>
  <si>
    <t>DtoValidationParamTest::room_missingType_rejected</t>
  </si>
  <si>
    <t>UT-699</t>
  </si>
  <si>
    <t>roomNumber="VIP-01", roomTypeId=null</t>
  </si>
  <si>
    <t>UT-700</t>
  </si>
  <si>
    <t>Đăng ký - email sai định dạng bị từ chối</t>
  </si>
  <si>
    <t>Tạo RegisterRequest hợp lệ, gán email sai định dạng, gọi Validator.validate()</t>
  </si>
  <si>
    <t>email="plainaddress"</t>
  </si>
  <si>
    <t>Có vi phạm @Email trên trường email</t>
  </si>
  <si>
    <t>DtoValidationParamTest::register_invalidEmail_rejected</t>
  </si>
  <si>
    <t>UT-701</t>
  </si>
  <si>
    <t>email="@gmail.com"</t>
  </si>
  <si>
    <t>UT-702</t>
  </si>
  <si>
    <t>email="hoan@"</t>
  </si>
  <si>
    <t>UT-703</t>
  </si>
  <si>
    <t>email="hoan gmail@mail.com"</t>
  </si>
  <si>
    <t>UT-704</t>
  </si>
  <si>
    <t>email="hoan@@gmail.com"</t>
  </si>
  <si>
    <t>UT-705</t>
  </si>
  <si>
    <t>email="hoan@gmail..com"</t>
  </si>
  <si>
    <t>UT-706</t>
  </si>
  <si>
    <t>email="hoan@.com"</t>
  </si>
  <si>
    <t>UT-707</t>
  </si>
  <si>
    <t>email=".hoan@gmail.com"</t>
  </si>
  <si>
    <t>UT-708</t>
  </si>
  <si>
    <t>email="hoan.@gmail.com"</t>
  </si>
  <si>
    <t>UT-709</t>
  </si>
  <si>
    <t>email="hoan@gm ail.com"</t>
  </si>
  <si>
    <t>UT-710</t>
  </si>
  <si>
    <t>Loại phòng - tên bỏ trống bị từ chối</t>
  </si>
  <si>
    <t>Tạo RoomTypeRequest hợp lệ, để trống tên loại phòng, gọi Validator.validate()</t>
  </si>
  <si>
    <t>name=[null]</t>
  </si>
  <si>
    <t>Có vi phạm @NotBlank trên name</t>
  </si>
  <si>
    <t>DtoValidationParamTest::roomType_blankName_rejected</t>
  </si>
  <si>
    <t>UT-711</t>
  </si>
  <si>
    <t>name=[]</t>
  </si>
  <si>
    <t>UT-712</t>
  </si>
  <si>
    <t>name=[ ]</t>
  </si>
  <si>
    <t>UT-713</t>
  </si>
  <si>
    <t>Xác nhận đặt phòng - email người nhận phòng</t>
  </si>
  <si>
    <t>Tạo BookingConfirmRequest hợp lệ, gán guestEmail, gọi Validator.validate()</t>
  </si>
  <si>
    <t>DtoValidationParamTest::confirm_email</t>
  </si>
  <si>
    <t>UT-714</t>
  </si>
  <si>
    <t>guestEmail="khach.vanglai@hotel.vn"</t>
  </si>
  <si>
    <t>UT-715</t>
  </si>
  <si>
    <t>UT-716</t>
  </si>
  <si>
    <t>guestEmail="khongphaiemail"</t>
  </si>
  <si>
    <t>UT-717</t>
  </si>
  <si>
    <t>guestEmail="an@"</t>
  </si>
  <si>
    <t>UT-718</t>
  </si>
  <si>
    <t>guestEmail="@gmail.com"</t>
  </si>
  <si>
    <t>UT-719</t>
  </si>
  <si>
    <t>guestEmail="an gmail@x.com"</t>
  </si>
  <si>
    <t>UT-720</t>
  </si>
  <si>
    <t>guestEmail="an@@x.com"</t>
  </si>
  <si>
    <t>UT-721</t>
  </si>
  <si>
    <t>Đăng ký - họ tên bỏ trống bị từ chối</t>
  </si>
  <si>
    <t>Tạo RegisterRequest hợp lệ, để trống họ tên, gọi Validator.validate()</t>
  </si>
  <si>
    <t>fullName=[null]</t>
  </si>
  <si>
    <t>Có vi phạm @NotBlank trên fullName</t>
  </si>
  <si>
    <t>DtoValidationParamTest::register_blankFullName_rejected</t>
  </si>
  <si>
    <t>UT-722</t>
  </si>
  <si>
    <t>fullName=[]</t>
  </si>
  <si>
    <t>UT-723</t>
  </si>
  <si>
    <t>fullName=[   ]</t>
  </si>
  <si>
    <t>UT-724</t>
  </si>
  <si>
    <t>fullName=[ ]</t>
  </si>
  <si>
    <t>UT-725</t>
  </si>
  <si>
    <t>Đăng ký - xác nhận mật khẩu bỏ trống bị từ chối</t>
  </si>
  <si>
    <t>Tạo RegisterRequest hợp lệ, để trống confirmPassword, gọi Validator.validate()</t>
  </si>
  <si>
    <t>confirmPassword=[null]</t>
  </si>
  <si>
    <t>Có vi phạm @NotBlank trên confirmPassword</t>
  </si>
  <si>
    <t>DtoValidationParamTest::register_blankConfirm_rejected</t>
  </si>
  <si>
    <t>UT-726</t>
  </si>
  <si>
    <t>confirmPassword=[]</t>
  </si>
  <si>
    <t>UT-727</t>
  </si>
  <si>
    <t>confirmPassword=[  ]</t>
  </si>
  <si>
    <t>UT-728</t>
  </si>
  <si>
    <t>Đăng ký - email hợp lệ được chấp nhận</t>
  </si>
  <si>
    <t>Tạo RegisterRequest hợp lệ, gán email theo bộ dữ liệu, gọi Validator.validate()</t>
  </si>
  <si>
    <t>email="hoan@gmail.com"</t>
  </si>
  <si>
    <t>Không có vi phạm trên trường email</t>
  </si>
  <si>
    <t>DtoValidationParamTest::register_validEmail_accepted</t>
  </si>
  <si>
    <t>UT-729</t>
  </si>
  <si>
    <t>email="nguyen.van.an@yahoo.com"</t>
  </si>
  <si>
    <t>UT-730</t>
  </si>
  <si>
    <t>email="a1@mail.vn"</t>
  </si>
  <si>
    <t>UT-731</t>
  </si>
  <si>
    <t>email="khach_hang@hotel.com.vn"</t>
  </si>
  <si>
    <t>UT-732</t>
  </si>
  <si>
    <t>email="staff+test@hotel.com"</t>
  </si>
  <si>
    <t>UT-733</t>
  </si>
  <si>
    <t>email="ABC@GMAIL.COM"</t>
  </si>
  <si>
    <t>UT-734</t>
  </si>
  <si>
    <t>email="x@y.io"</t>
  </si>
  <si>
    <t>UT-735</t>
  </si>
  <si>
    <t>email="ten.ho-123@sub.domain.org"</t>
  </si>
  <si>
    <t>UT-736</t>
  </si>
  <si>
    <t>Đăng ký - mật khẩu dài 1 ký tự (biên dưới 6)</t>
  </si>
  <si>
    <t>Tạo RegisterRequest hợp lệ, gán mật khẩu có độ dài N ký tự, gọi Validator.validate()</t>
  </si>
  <si>
    <t>password có 1 ký tự</t>
  </si>
  <si>
    <t>DtoValidationParamTest::register_passwordLengthBoundary</t>
  </si>
  <si>
    <t>UT-737</t>
  </si>
  <si>
    <t>Đăng ký - mật khẩu dài 2 ký tự (biên dưới 6)</t>
  </si>
  <si>
    <t>password có 2 ký tự</t>
  </si>
  <si>
    <t>UT-738</t>
  </si>
  <si>
    <t>Đăng ký - mật khẩu dài 3 ký tự (biên dưới 6)</t>
  </si>
  <si>
    <t>password có 3 ký tự</t>
  </si>
  <si>
    <t>UT-739</t>
  </si>
  <si>
    <t>Đăng ký - mật khẩu dài 4 ký tự (biên dưới 6)</t>
  </si>
  <si>
    <t>password có 4 ký tự</t>
  </si>
  <si>
    <t>UT-740</t>
  </si>
  <si>
    <t>Đăng ký - mật khẩu dài 5 ký tự (biên dưới 6)</t>
  </si>
  <si>
    <t>password có 5 ký tự</t>
  </si>
  <si>
    <t>UT-741</t>
  </si>
  <si>
    <t>Đăng ký - mật khẩu dài 6 ký tự (biên dưới 6)</t>
  </si>
  <si>
    <t>password có 6 ký tự</t>
  </si>
  <si>
    <t>UT-742</t>
  </si>
  <si>
    <t>Đăng ký - mật khẩu dài 7 ký tự (biên dưới 6)</t>
  </si>
  <si>
    <t>password có 7 ký tự</t>
  </si>
  <si>
    <t>UT-743</t>
  </si>
  <si>
    <t>Đăng ký - mật khẩu dài 8 ký tự (biên dưới 6)</t>
  </si>
  <si>
    <t>password có 8 ký tự</t>
  </si>
  <si>
    <t>UT-744</t>
  </si>
  <si>
    <t>Đăng ký - mật khẩu dài 12 ký tự (biên dưới 6)</t>
  </si>
  <si>
    <t>password có 12 ký tự</t>
  </si>
  <si>
    <t>UT-745</t>
  </si>
  <si>
    <t>Đăng ký - mật khẩu dài 20 ký tự (biên dưới 6)</t>
  </si>
  <si>
    <t>password có 20 ký tự</t>
  </si>
  <si>
    <t>UT-746</t>
  </si>
  <si>
    <t>Đăng ký - mật khẩu dài 64 ký tự (biên dưới 6)</t>
  </si>
  <si>
    <t>password có 64 ký tự</t>
  </si>
  <si>
    <t>UT-747</t>
  </si>
  <si>
    <t>Mã giảm giá - áp dụng cho loại khách NEW</t>
  </si>
  <si>
    <t>Tạo DiscountCodeRequest hợp lệ, gán đối tượng khách hàng áp dụng, gọi Validator.validate()</t>
  </si>
  <si>
    <t>applicableCustomerType=NEW</t>
  </si>
  <si>
    <t>Không có vi phạm (trường không bắt buộc)</t>
  </si>
  <si>
    <t>DtoValidationParamTest::discount_applicableTypeOptional</t>
  </si>
  <si>
    <t>UT-748</t>
  </si>
  <si>
    <t>Mã giảm giá - áp dụng cho loại khách REGULAR</t>
  </si>
  <si>
    <t>applicableCustomerType=REGULAR</t>
  </si>
  <si>
    <t>UT-749</t>
  </si>
  <si>
    <t>Mã giảm giá - áp dụng cho loại khách VIP</t>
  </si>
  <si>
    <t>applicableCustomerType=VIP</t>
  </si>
  <si>
    <t>UT-750</t>
  </si>
  <si>
    <t>Mã giảm giá - áp dụng cho loại khách ALL</t>
  </si>
  <si>
    <t>applicableCustomerType=ALL</t>
  </si>
  <si>
    <t>UT-751</t>
  </si>
  <si>
    <t>Mã giảm giá - loại PERCENTAGE, giá trị 0</t>
  </si>
  <si>
    <t>Tạo DiscountCodeRequest (mã TEST), gán loại giảm và giá trị giảm, gọi Validator.validate()</t>
  </si>
  <si>
    <t>discountType=PERCENTAGE, discountValue=0</t>
  </si>
  <si>
    <t>DtoValidationParamTest::discount_valueRules</t>
  </si>
  <si>
    <t>UT-752</t>
  </si>
  <si>
    <t>Mã giảm giá - loại PERCENTAGE, giá trị 0.01</t>
  </si>
  <si>
    <t>discountType=PERCENTAGE, discountValue=0.01</t>
  </si>
  <si>
    <t>UT-753</t>
  </si>
  <si>
    <t>Mã giảm giá - loại PERCENTAGE, giá trị 1</t>
  </si>
  <si>
    <t>discountType=PERCENTAGE, discountValue=1</t>
  </si>
  <si>
    <t>UT-754</t>
  </si>
  <si>
    <t>Mã giảm giá - loại PERCENTAGE, giá trị 10</t>
  </si>
  <si>
    <t>discountType=PERCENTAGE, discountValue=10</t>
  </si>
  <si>
    <t>UT-755</t>
  </si>
  <si>
    <t>Mã giảm giá - loại PERCENTAGE, giá trị 50</t>
  </si>
  <si>
    <t>discountType=PERCENTAGE, discountValue=50</t>
  </si>
  <si>
    <t>UT-756</t>
  </si>
  <si>
    <t>Mã giảm giá - loại PERCENTAGE, giá trị 99.99</t>
  </si>
  <si>
    <t>discountType=PERCENTAGE, discountValue=99.99</t>
  </si>
  <si>
    <t>UT-757</t>
  </si>
  <si>
    <t>Mã giảm giá - loại PERCENTAGE, giá trị 100</t>
  </si>
  <si>
    <t>discountType=PERCENTAGE, discountValue=100</t>
  </si>
  <si>
    <t>UT-758</t>
  </si>
  <si>
    <t>Mã giảm giá - loại PERCENTAGE, giá trị 100.01</t>
  </si>
  <si>
    <t>discountType=PERCENTAGE, discountValue=100.01</t>
  </si>
  <si>
    <t>UT-759</t>
  </si>
  <si>
    <t>Mã giảm giá - loại PERCENTAGE, giá trị 150</t>
  </si>
  <si>
    <t>UT-760</t>
  </si>
  <si>
    <t>Mã giảm giá - loại PERCENTAGE, giá trị -10</t>
  </si>
  <si>
    <t>discountType=PERCENTAGE, discountValue=-10</t>
  </si>
  <si>
    <t>UT-761</t>
  </si>
  <si>
    <t>Mã giảm giá - loại FIXED_AMOUNT, giá trị 0</t>
  </si>
  <si>
    <t>discountType=FIXED_AMOUNT, discountValue=0</t>
  </si>
  <si>
    <t>UT-762</t>
  </si>
  <si>
    <t>Mã giảm giá - loại FIXED_AMOUNT, giá trị -50000</t>
  </si>
  <si>
    <t>discountType=FIXED_AMOUNT, discountValue=-50000</t>
  </si>
  <si>
    <t>UT-763</t>
  </si>
  <si>
    <t>Mã giảm giá - loại FIXED_AMOUNT, giá trị 50000</t>
  </si>
  <si>
    <t>discountType=FIXED_AMOUNT, discountValue=50000</t>
  </si>
  <si>
    <t>UT-764</t>
  </si>
  <si>
    <t>Mã giảm giá - loại FIXED_AMOUNT, giá trị 150</t>
  </si>
  <si>
    <t>discountType=FIXED_AMOUNT, discountValue=150</t>
  </si>
  <si>
    <t>UT-765</t>
  </si>
  <si>
    <t>Mã giảm giá - loại FIXED_AMOUNT, giá trị 5000000</t>
  </si>
  <si>
    <t>discountType=FIXED_AMOUNT, discountValue=5000000</t>
  </si>
  <si>
    <t>UT-766</t>
  </si>
  <si>
    <t>Đăng ký - họ tên hợp lệ được chấp nhận</t>
  </si>
  <si>
    <t>Tạo RegisterRequest hợp lệ, gán họ tên, gọi Validator.validate()</t>
  </si>
  <si>
    <t>fullName="Nguyễn Quốc Hoàn"</t>
  </si>
  <si>
    <t>Không có vi phạm trên fullName</t>
  </si>
  <si>
    <t>DtoValidationParamTest::register_validFullName_accepted</t>
  </si>
  <si>
    <t>UT-767</t>
  </si>
  <si>
    <t>fullName="An"</t>
  </si>
  <si>
    <t>UT-768</t>
  </si>
  <si>
    <t>fullName="Trần Thị Thu Hà"</t>
  </si>
  <si>
    <t>UT-769</t>
  </si>
  <si>
    <t>fullName="Lê Văn Đức Anh Minh"</t>
  </si>
  <si>
    <t>UT-770</t>
  </si>
  <si>
    <t>fullName="Đỗ Ân"</t>
  </si>
  <si>
    <t>UT-771</t>
  </si>
  <si>
    <t>Đăng ký - email bỏ trống bị từ chối</t>
  </si>
  <si>
    <t>Tạo RegisterRequest hợp lệ, để trống email, gọi Validator.validate()</t>
  </si>
  <si>
    <t>email=[null]</t>
  </si>
  <si>
    <t>Có vi phạm @NotBlank trên email</t>
  </si>
  <si>
    <t>DtoValidationParamTest::register_blankEmail_rejected</t>
  </si>
  <si>
    <t>UT-772</t>
  </si>
  <si>
    <t>email=[]</t>
  </si>
  <si>
    <t>UT-773</t>
  </si>
  <si>
    <t>email=[  ]</t>
  </si>
  <si>
    <t>UT-774</t>
  </si>
  <si>
    <t>Xác nhận đặt phòng - SĐT người nhận phòng sai định dạng</t>
  </si>
  <si>
    <t>Tạo BookingConfirmRequest hợp lệ, gán guestPhone sai định dạng, gọi Validator.validate()</t>
  </si>
  <si>
    <t>guestPhone=""</t>
  </si>
  <si>
    <t>Có vi phạm trên guestPhone</t>
  </si>
  <si>
    <t>DtoValidationParamTest::confirm_invalidPhone_rejected</t>
  </si>
  <si>
    <t>UT-775</t>
  </si>
  <si>
    <t>guestPhone="091234567"</t>
  </si>
  <si>
    <t>UT-776</t>
  </si>
  <si>
    <t>guestPhone="09123456789"</t>
  </si>
  <si>
    <t>UT-777</t>
  </si>
  <si>
    <t>guestPhone="1912345678"</t>
  </si>
  <si>
    <t>UT-778</t>
  </si>
  <si>
    <t>guestPhone="+84912345678"</t>
  </si>
  <si>
    <t>UT-779</t>
  </si>
  <si>
    <t>guestPhone="0912 345 678"</t>
  </si>
  <si>
    <t>UT-780</t>
  </si>
  <si>
    <t>guestPhone="số điện thoại"</t>
  </si>
  <si>
    <t>UT-781</t>
  </si>
  <si>
    <t>guestPhone="0912-345-678"</t>
  </si>
  <si>
    <t>UT-782</t>
  </si>
  <si>
    <t>Xác nhận đặt phòng - thiếu checkInTime</t>
  </si>
  <si>
    <t>Tạo BookingConfirmRequest hợp lệ, để null giờ nhận hoặc giờ trả phòng, gọi Validator.validate()</t>
  </si>
  <si>
    <t>checkInTime=null</t>
  </si>
  <si>
    <t>Có vi phạm @NotNull trên checkInTime</t>
  </si>
  <si>
    <t>DtoValidationParamTest::confirm_missingTime_rejected</t>
  </si>
  <si>
    <t>UT-783</t>
  </si>
  <si>
    <t>Xác nhận đặt phòng - thiếu checkOutTime</t>
  </si>
  <si>
    <t>checkOutTime=null</t>
  </si>
  <si>
    <t>Có vi phạm @NotNull trên checkOutTime</t>
  </si>
  <si>
    <t>UT-784</t>
  </si>
  <si>
    <t>Xác nhận đặt phòng - SĐT người nhận phòng hợp lệ</t>
  </si>
  <si>
    <t>Tạo BookingConfirmRequest hợp lệ, gán guestPhone, gọi Validator.validate()</t>
  </si>
  <si>
    <t>guestPhone="0912345678"</t>
  </si>
  <si>
    <t>Không có vi phạm trên guestPhone</t>
  </si>
  <si>
    <t>DtoValidationParamTest::confirm_validPhone_accepted</t>
  </si>
  <si>
    <t>UT-785</t>
  </si>
  <si>
    <t>guestPhone="0337196255"</t>
  </si>
  <si>
    <t>UT-786</t>
  </si>
  <si>
    <t>guestPhone="0388888888"</t>
  </si>
  <si>
    <t>UT-787</t>
  </si>
  <si>
    <t>guestPhone="0909001122"</t>
  </si>
  <si>
    <t>UT-788</t>
  </si>
  <si>
    <t>guestPhone="0777674593"</t>
  </si>
  <si>
    <t>UT-789</t>
  </si>
  <si>
    <t>guestPhone="0831234567"</t>
  </si>
  <si>
    <t>UT-790</t>
  </si>
  <si>
    <t>Mã giảm giá - thiếu trường bắt buộc code</t>
  </si>
  <si>
    <t>Tạo DiscountCodeRequest thiếu trường bắt buộc, gọi Validator.validate()</t>
  </si>
  <si>
    <t>code để trống</t>
  </si>
  <si>
    <t>Có vi phạm trên code</t>
  </si>
  <si>
    <t>DtoValidationParamTest::discount_missingRequired_rejected</t>
  </si>
  <si>
    <t>UT-791</t>
  </si>
  <si>
    <t>Mã giảm giá - thiếu trường bắt buộc discountType</t>
  </si>
  <si>
    <t>discountType để trống</t>
  </si>
  <si>
    <t>Có vi phạm trên discountType</t>
  </si>
  <si>
    <t>UT-792</t>
  </si>
  <si>
    <t>Mã giảm giá - thiếu trường bắt buộc discountValue</t>
  </si>
  <si>
    <t>discountValue để trống</t>
  </si>
  <si>
    <t>Có vi phạm trên discountValue</t>
  </si>
  <si>
    <t>UT-793</t>
  </si>
  <si>
    <t>Combo - tên combo bỏ trống bị từ chối</t>
  </si>
  <si>
    <t>Tạo ComboRequest hợp lệ, để trống tên combo, gọi Validator.validate()</t>
  </si>
  <si>
    <t>DtoValidationParamTest::combo_blankName_rejected</t>
  </si>
  <si>
    <t>UT-794</t>
  </si>
  <si>
    <t>BỘ TEST CASE INTEGRATION TEST – HỆ THỐNG QUẢN LÝ ĐẶT PHÒNG KHÁCH SẠN</t>
  </si>
  <si>
    <t>IT-001</t>
  </si>
  <si>
    <t>Đăng ký tài khoản mới qua controller thật</t>
  </si>
  <si>
    <t>POST /register với đầy đủ field hợp lệ (CSRF hợp lệ)</t>
  </si>
  <si>
    <t>fullName/email/phone/password/confirmPassword hợp lệ, email chưa tồn tại</t>
  </si>
  <si>
    <t>HTTP 302 → redirect "/login?registered=true"; có bản ghi mới trong bảng users</t>
  </si>
  <si>
    <t>AuthIT::register_newAccount_redirectsToLoginWithRegisteredFlag</t>
  </si>
  <si>
    <t>IT-002</t>
  </si>
  <si>
    <t>Đăng ký với email đã tồn tại bị từ chối ở tầng controller</t>
  </si>
  <si>
    <t>POST /register với email đã có sẵn trong DB</t>
  </si>
  <si>
    <t>HTTP 200, trả lại view auth/register kèm model errorMessage; KHÔNG tạo thêm user</t>
  </si>
  <si>
    <t>AuthIT::register_duplicateEmail_rendersFormWithErrorAndDoesNotCreateDuplicate</t>
  </si>
  <si>
    <t>IT-003</t>
  </si>
  <si>
    <t>Đăng ký với mật khẩu xác nhận không khớp bị chặn bởi validation</t>
  </si>
  <si>
    <t>POST /register với confirmPassword khác password</t>
  </si>
  <si>
    <t>password/confirmPassword khác nhau</t>
  </si>
  <si>
    <t>HTTP 200, ở lại view đăng ký; KHÔNG tạo user mới trong DB</t>
  </si>
  <si>
    <t>AuthIT::register_passwordMismatch_rejectedByValidation</t>
  </si>
  <si>
    <t>IT-004</t>
  </si>
  <si>
    <t>Đăng nhập cổng khách hàng đúng mật khẩu</t>
  </si>
  <si>
    <t>POST /login với username/password đúng của tài khoản CUSTOMER</t>
  </si>
  <si>
    <t>tài khoản CUSTOMER hợp lệ</t>
  </si>
  <si>
    <t>HTTP 302 → redirect "/customer/rooms"</t>
  </si>
  <si>
    <t>AuthIT::login_customerCorrectCredentials_redirectsToRoomsList</t>
  </si>
  <si>
    <t>IT-005</t>
  </si>
  <si>
    <t>Đăng nhập sai mật khẩu</t>
  </si>
  <si>
    <t>POST /login với mật khẩu sai</t>
  </si>
  <si>
    <t>email đúng, password sai</t>
  </si>
  <si>
    <t>HTTP 302 → redirect "/login?error=true"</t>
  </si>
  <si>
    <t>AuthIT::login_wrongPassword_redirectsToLoginError</t>
  </si>
  <si>
    <t>IT-006</t>
  </si>
  <si>
    <t>Tài khoản Admin đăng nhập nhầm cổng khách hàng bị chặn</t>
  </si>
  <si>
    <t>POST /login (cổng khách hàng) bằng tài khoản admin@hotel.com</t>
  </si>
  <si>
    <t>role=ADMIN đăng nhập ở /login</t>
  </si>
  <si>
    <t>HTTP 302 → redirect "/login?error=wrong_portal"</t>
  </si>
  <si>
    <t>AuthIT::login_adminAccountOnCustomerPortal_blockedAsWrongPortal</t>
  </si>
  <si>
    <t>IT-007</t>
  </si>
  <si>
    <t>Tài khoản Staff đăng nhập đúng cổng quản trị</t>
  </si>
  <si>
    <t>POST /admin/login bằng tài khoản staff@hotel.com</t>
  </si>
  <si>
    <t>HTTP 302 → redirect "/admin/dashboard"</t>
  </si>
  <si>
    <t>AuthIT::adminLogin_staffAccount_redirectsToDashboard</t>
  </si>
  <si>
    <t>IT-008</t>
  </si>
  <si>
    <t>Tài khoản khách hàng đăng nhập nhầm cổng quản trị bị chặn</t>
  </si>
  <si>
    <t>POST /admin/login bằng tài khoản CUSTOMER</t>
  </si>
  <si>
    <t>role=CUSTOMER đăng nhập ở /admin/login</t>
  </si>
  <si>
    <t>HTTP 302 → redirect "/admin?error=wrong_portal"</t>
  </si>
  <si>
    <t>AuthIT::adminLogin_customerAccount_blockedAsWrongPortal</t>
  </si>
  <si>
    <t>IT-009</t>
  </si>
  <si>
    <t>Chặn truy cập lịch sử đặt phòng khi chưa đăng nhập</t>
  </si>
  <si>
    <t>GET /customer/bookings không có session</t>
  </si>
  <si>
    <t>chưa đăng nhập</t>
  </si>
  <si>
    <t>HTTP 302 → redirect chứa "/login"</t>
  </si>
  <si>
    <t>AuthIT::anonymousAccessToBookingHistory_redirectsToLogin</t>
  </si>
  <si>
    <t>IT-010</t>
  </si>
  <si>
    <t>Chặn truy cập dashboard quản trị khi chưa đăng nhập</t>
  </si>
  <si>
    <t>GET /admin/dashboard không có session</t>
  </si>
  <si>
    <t>HTTP 302 → redirect chứa "/admin"</t>
  </si>
  <si>
    <t>AuthIT::anonymousAccessToAdminDashboard_redirectsToAdminLogin</t>
  </si>
  <si>
    <t>IT-011</t>
  </si>
  <si>
    <t>Chặn POST thiếu CSRF token</t>
  </si>
  <si>
    <t>Gửi POST tới endpoint thay đổi dữ liệu nhưng KHÔNG kèm CSRF token (vai trò ADMIN)</t>
  </si>
  <si>
    <t>POST /register không có _csrf</t>
  </si>
  <si>
    <t>403 Forbidden, dữ liệu không đổi</t>
  </si>
  <si>
    <t>SecurityAccessMatrixIT::csrfRequired</t>
  </si>
  <si>
    <t>IT-012</t>
  </si>
  <si>
    <t>POST /customer/bookings/new không có _csrf</t>
  </si>
  <si>
    <t>IT-013</t>
  </si>
  <si>
    <t>POST /admin/bookings/1/confirm không có _csrf</t>
  </si>
  <si>
    <t>IT-014</t>
  </si>
  <si>
    <t>POST /admin/bookings/1/cancel không có _csrf</t>
  </si>
  <si>
    <t>IT-015</t>
  </si>
  <si>
    <t>POST /admin/rooms/1/delete không có _csrf</t>
  </si>
  <si>
    <t>IT-016</t>
  </si>
  <si>
    <t>POST /admin/rooms/1/status không có _csrf</t>
  </si>
  <si>
    <t>IT-017</t>
  </si>
  <si>
    <t>POST /admin/combos/1/toggle-active không có _csrf</t>
  </si>
  <si>
    <t>IT-018</t>
  </si>
  <si>
    <t>POST /admin/discount-codes/1/delete không có _csrf</t>
  </si>
  <si>
    <t>IT-019</t>
  </si>
  <si>
    <t>POST /admin/customers/1/update-type không có _csrf</t>
  </si>
  <si>
    <t>IT-020</t>
  </si>
  <si>
    <t>POST /admin/bookings/walk-in/new không có _csrf</t>
  </si>
  <si>
    <t>IT-021</t>
  </si>
  <si>
    <t>POST /api/chatbot/ask không có _csrf</t>
  </si>
  <si>
    <t>IT-022</t>
  </si>
  <si>
    <t>POST /logout không có _csrf</t>
  </si>
  <si>
    <t>IT-023</t>
  </si>
  <si>
    <t>POST /admin/logout không có _csrf</t>
  </si>
  <si>
    <t>IT-024</t>
  </si>
  <si>
    <t>Chặn thao tác ghi khi không đủ quyền</t>
  </si>
  <si>
    <t>Gửi POST hợp lệ có CSRF token nhưng vai trò không đủ quyền</t>
  </si>
  <si>
    <t>POST /admin/rooms/new với vai trò STAFF (có CSRF)</t>
  </si>
  <si>
    <t>403 Forbidden</t>
  </si>
  <si>
    <t>SecurityAccessMatrixIT::writeRequiresRole</t>
  </si>
  <si>
    <t>IT-025</t>
  </si>
  <si>
    <t>POST /admin/room-types/new với vai trò STAFF (có CSRF)</t>
  </si>
  <si>
    <t>IT-026</t>
  </si>
  <si>
    <t>POST /admin/combos/new với vai trò STAFF (có CSRF)</t>
  </si>
  <si>
    <t>IT-027</t>
  </si>
  <si>
    <t>POST /admin/discount-codes/new với vai trò STAFF (có CSRF)</t>
  </si>
  <si>
    <t>IT-028</t>
  </si>
  <si>
    <t>POST /admin/bookings/1/confirm với vai trò CUSTOMER (có CSRF)</t>
  </si>
  <si>
    <t>IT-029</t>
  </si>
  <si>
    <t>POST /admin/rooms/1/delete với vai trò CUSTOMER (có CSRF)</t>
  </si>
  <si>
    <t>IT-030</t>
  </si>
  <si>
    <t>POST /admin/bookings/1/confirm với vai trò ANONYMOUS (có CSRF)</t>
  </si>
  <si>
    <t>Chuyển về /admin</t>
  </si>
  <si>
    <t>IT-031</t>
  </si>
  <si>
    <t>Truy cập / với vai trò ANONYMOUS</t>
  </si>
  <si>
    <t>Gửi GET tới đường dẫn bằng MockMvc với vai trò tương ứng (chưa đăng nhập / CUSTOMER / STAFF / ADMIN), đi qua đủ 2 SecurityFilterChain</t>
  </si>
  <si>
    <t>GET /, role=ANONYMOUS</t>
  </si>
  <si>
    <t>200 OK</t>
  </si>
  <si>
    <t>SecurityAccessMatrixIT::accessMatrix</t>
  </si>
  <si>
    <t>IT-032</t>
  </si>
  <si>
    <t>Truy cập / với vai trò CUSTOMER</t>
  </si>
  <si>
    <t>GET /, role=CUSTOMER</t>
  </si>
  <si>
    <t>IT-033</t>
  </si>
  <si>
    <t>Truy cập / với vai trò STAFF</t>
  </si>
  <si>
    <t>GET /, role=STAFF</t>
  </si>
  <si>
    <t>IT-034</t>
  </si>
  <si>
    <t>Truy cập / với vai trò ADMIN</t>
  </si>
  <si>
    <t>GET /, role=ADMIN</t>
  </si>
  <si>
    <t>IT-035</t>
  </si>
  <si>
    <t>Truy cập /home với vai trò ANONYMOUS</t>
  </si>
  <si>
    <t>GET /home, role=ANONYMOUS</t>
  </si>
  <si>
    <t>IT-036</t>
  </si>
  <si>
    <t>Truy cập /home với vai trò CUSTOMER</t>
  </si>
  <si>
    <t>GET /home, role=CUSTOMER</t>
  </si>
  <si>
    <t>IT-037</t>
  </si>
  <si>
    <t>Truy cập /home với vai trò STAFF</t>
  </si>
  <si>
    <t>GET /home, role=STAFF</t>
  </si>
  <si>
    <t>IT-038</t>
  </si>
  <si>
    <t>Truy cập /home với vai trò ADMIN</t>
  </si>
  <si>
    <t>GET /home, role=ADMIN</t>
  </si>
  <si>
    <t>IT-039</t>
  </si>
  <si>
    <t>Truy cập /rooms với vai trò ANONYMOUS</t>
  </si>
  <si>
    <t>GET /rooms, role=ANONYMOUS</t>
  </si>
  <si>
    <t>IT-040</t>
  </si>
  <si>
    <t>Truy cập /rooms với vai trò CUSTOMER</t>
  </si>
  <si>
    <t>GET /rooms, role=CUSTOMER</t>
  </si>
  <si>
    <t>IT-041</t>
  </si>
  <si>
    <t>Truy cập /rooms với vai trò STAFF</t>
  </si>
  <si>
    <t>GET /rooms, role=STAFF</t>
  </si>
  <si>
    <t>IT-042</t>
  </si>
  <si>
    <t>Truy cập /rooms với vai trò ADMIN</t>
  </si>
  <si>
    <t>GET /rooms, role=ADMIN</t>
  </si>
  <si>
    <t>IT-043</t>
  </si>
  <si>
    <t>Truy cập /login với vai trò ANONYMOUS</t>
  </si>
  <si>
    <t>GET /login, role=ANONYMOUS</t>
  </si>
  <si>
    <t>IT-044</t>
  </si>
  <si>
    <t>Truy cập /login với vai trò CUSTOMER</t>
  </si>
  <si>
    <t>GET /login, role=CUSTOMER</t>
  </si>
  <si>
    <t>IT-045</t>
  </si>
  <si>
    <t>Truy cập /login với vai trò STAFF</t>
  </si>
  <si>
    <t>GET /login, role=STAFF</t>
  </si>
  <si>
    <t>IT-046</t>
  </si>
  <si>
    <t>Truy cập /login với vai trò ADMIN</t>
  </si>
  <si>
    <t>GET /login, role=ADMIN</t>
  </si>
  <si>
    <t>IT-047</t>
  </si>
  <si>
    <t>Truy cập /register với vai trò ANONYMOUS</t>
  </si>
  <si>
    <t>GET /register, role=ANONYMOUS</t>
  </si>
  <si>
    <t>IT-048</t>
  </si>
  <si>
    <t>Truy cập /register với vai trò CUSTOMER</t>
  </si>
  <si>
    <t>GET /register, role=CUSTOMER</t>
  </si>
  <si>
    <t>IT-049</t>
  </si>
  <si>
    <t>Truy cập /register với vai trò STAFF</t>
  </si>
  <si>
    <t>GET /register, role=STAFF</t>
  </si>
  <si>
    <t>IT-050</t>
  </si>
  <si>
    <t>Truy cập /register với vai trò ADMIN</t>
  </si>
  <si>
    <t>GET /register, role=ADMIN</t>
  </si>
  <si>
    <t>IT-051</t>
  </si>
  <si>
    <t>Truy cập /customer/rooms với vai trò ANONYMOUS</t>
  </si>
  <si>
    <t>GET /customer/rooms, role=ANONYMOUS</t>
  </si>
  <si>
    <t>IT-052</t>
  </si>
  <si>
    <t>Truy cập /customer/rooms với vai trò CUSTOMER</t>
  </si>
  <si>
    <t>GET /customer/rooms, role=CUSTOMER</t>
  </si>
  <si>
    <t>IT-053</t>
  </si>
  <si>
    <t>Truy cập /customer/rooms với vai trò STAFF</t>
  </si>
  <si>
    <t>GET /customer/rooms, role=STAFF</t>
  </si>
  <si>
    <t>IT-054</t>
  </si>
  <si>
    <t>Truy cập /customer/rooms với vai trò ADMIN</t>
  </si>
  <si>
    <t>GET /customer/rooms, role=ADMIN</t>
  </si>
  <si>
    <t>IT-055</t>
  </si>
  <si>
    <t>Truy cập /admin với vai trò ANONYMOUS</t>
  </si>
  <si>
    <t>GET /admin, role=ANONYMOUS</t>
  </si>
  <si>
    <t>IT-056</t>
  </si>
  <si>
    <t>Truy cập /admin với vai trò CUSTOMER</t>
  </si>
  <si>
    <t>GET /admin, role=CUSTOMER</t>
  </si>
  <si>
    <t>IT-057</t>
  </si>
  <si>
    <t>Truy cập /admin với vai trò STAFF</t>
  </si>
  <si>
    <t>GET /admin, role=STAFF</t>
  </si>
  <si>
    <t>IT-058</t>
  </si>
  <si>
    <t>Truy cập /admin với vai trò ADMIN</t>
  </si>
  <si>
    <t>GET /admin, role=ADMIN</t>
  </si>
  <si>
    <t>IT-059</t>
  </si>
  <si>
    <t>Truy cập /customer/bookings với vai trò ANONYMOUS</t>
  </si>
  <si>
    <t>GET /customer/bookings, role=ANONYMOUS</t>
  </si>
  <si>
    <t>Chuyển về /login</t>
  </si>
  <si>
    <t>IT-060</t>
  </si>
  <si>
    <t>Truy cập /customer/bookings với vai trò CUSTOMER</t>
  </si>
  <si>
    <t>GET /customer/bookings, role=CUSTOMER</t>
  </si>
  <si>
    <t>IT-061</t>
  </si>
  <si>
    <t>Truy cập /customer/bookings với vai trò STAFF</t>
  </si>
  <si>
    <t>GET /customer/bookings, role=STAFF</t>
  </si>
  <si>
    <t>IT-062</t>
  </si>
  <si>
    <t>Truy cập /customer/bookings với vai trò ADMIN</t>
  </si>
  <si>
    <t>GET /customer/bookings, role=ADMIN</t>
  </si>
  <si>
    <t>IT-063</t>
  </si>
  <si>
    <t>Truy cập /admin/dashboard với vai trò ANONYMOUS</t>
  </si>
  <si>
    <t>GET /admin/dashboard, role=ANONYMOUS</t>
  </si>
  <si>
    <t>IT-064</t>
  </si>
  <si>
    <t>Truy cập /admin/dashboard với vai trò CUSTOMER</t>
  </si>
  <si>
    <t>GET /admin/dashboard, role=CUSTOMER</t>
  </si>
  <si>
    <t>IT-065</t>
  </si>
  <si>
    <t>Truy cập /admin/dashboard với vai trò STAFF</t>
  </si>
  <si>
    <t>GET /admin/dashboard, role=STAFF</t>
  </si>
  <si>
    <t>IT-066</t>
  </si>
  <si>
    <t>Truy cập /admin/dashboard với vai trò ADMIN</t>
  </si>
  <si>
    <t>GET /admin/dashboard, role=ADMIN</t>
  </si>
  <si>
    <t>IT-067</t>
  </si>
  <si>
    <t>Truy cập /admin/bookings với vai trò ANONYMOUS</t>
  </si>
  <si>
    <t>GET /admin/bookings, role=ANONYMOUS</t>
  </si>
  <si>
    <t>IT-068</t>
  </si>
  <si>
    <t>Truy cập /admin/bookings với vai trò CUSTOMER</t>
  </si>
  <si>
    <t>GET /admin/bookings, role=CUSTOMER</t>
  </si>
  <si>
    <t>IT-069</t>
  </si>
  <si>
    <t>Truy cập /admin/bookings với vai trò STAFF</t>
  </si>
  <si>
    <t>GET /admin/bookings, role=STAFF</t>
  </si>
  <si>
    <t>IT-070</t>
  </si>
  <si>
    <t>Truy cập /admin/bookings với vai trò ADMIN</t>
  </si>
  <si>
    <t>GET /admin/bookings, role=ADMIN</t>
  </si>
  <si>
    <t>IT-071</t>
  </si>
  <si>
    <t>Truy cập /admin/rooms với vai trò ANONYMOUS</t>
  </si>
  <si>
    <t>GET /admin/rooms, role=ANONYMOUS</t>
  </si>
  <si>
    <t>IT-072</t>
  </si>
  <si>
    <t>Truy cập /admin/rooms với vai trò CUSTOMER</t>
  </si>
  <si>
    <t>GET /admin/rooms, role=CUSTOMER</t>
  </si>
  <si>
    <t>IT-073</t>
  </si>
  <si>
    <t>Truy cập /admin/rooms với vai trò STAFF</t>
  </si>
  <si>
    <t>GET /admin/rooms, role=STAFF</t>
  </si>
  <si>
    <t>IT-074</t>
  </si>
  <si>
    <t>Truy cập /admin/rooms với vai trò ADMIN</t>
  </si>
  <si>
    <t>GET /admin/rooms, role=ADMIN</t>
  </si>
  <si>
    <t>IT-075</t>
  </si>
  <si>
    <t>Truy cập /admin/room-types với vai trò ANONYMOUS</t>
  </si>
  <si>
    <t>GET /admin/room-types, role=ANONYMOUS</t>
  </si>
  <si>
    <t>IT-076</t>
  </si>
  <si>
    <t>Truy cập /admin/room-types với vai trò CUSTOMER</t>
  </si>
  <si>
    <t>GET /admin/room-types, role=CUSTOMER</t>
  </si>
  <si>
    <t>IT-077</t>
  </si>
  <si>
    <t>Truy cập /admin/room-types với vai trò STAFF</t>
  </si>
  <si>
    <t>GET /admin/room-types, role=STAFF</t>
  </si>
  <si>
    <t>IT-078</t>
  </si>
  <si>
    <t>Truy cập /admin/room-types với vai trò ADMIN</t>
  </si>
  <si>
    <t>GET /admin/room-types, role=ADMIN</t>
  </si>
  <si>
    <t>IT-079</t>
  </si>
  <si>
    <t>Truy cập /admin/combos với vai trò ANONYMOUS</t>
  </si>
  <si>
    <t>GET /admin/combos, role=ANONYMOUS</t>
  </si>
  <si>
    <t>IT-080</t>
  </si>
  <si>
    <t>Truy cập /admin/combos với vai trò CUSTOMER</t>
  </si>
  <si>
    <t>GET /admin/combos, role=CUSTOMER</t>
  </si>
  <si>
    <t>IT-081</t>
  </si>
  <si>
    <t>Truy cập /admin/combos với vai trò STAFF</t>
  </si>
  <si>
    <t>GET /admin/combos, role=STAFF</t>
  </si>
  <si>
    <t>IT-082</t>
  </si>
  <si>
    <t>Truy cập /admin/combos với vai trò ADMIN</t>
  </si>
  <si>
    <t>GET /admin/combos, role=ADMIN</t>
  </si>
  <si>
    <t>IT-083</t>
  </si>
  <si>
    <t>Truy cập /admin/discount-codes với vai trò ANONYMOUS</t>
  </si>
  <si>
    <t>GET /admin/discount-codes, role=ANONYMOUS</t>
  </si>
  <si>
    <t>IT-084</t>
  </si>
  <si>
    <t>Truy cập /admin/discount-codes với vai trò CUSTOMER</t>
  </si>
  <si>
    <t>GET /admin/discount-codes, role=CUSTOMER</t>
  </si>
  <si>
    <t>IT-085</t>
  </si>
  <si>
    <t>Truy cập /admin/discount-codes với vai trò STAFF</t>
  </si>
  <si>
    <t>GET /admin/discount-codes, role=STAFF</t>
  </si>
  <si>
    <t>IT-086</t>
  </si>
  <si>
    <t>Truy cập /admin/discount-codes với vai trò ADMIN</t>
  </si>
  <si>
    <t>GET /admin/discount-codes, role=ADMIN</t>
  </si>
  <si>
    <t>IT-087</t>
  </si>
  <si>
    <t>Truy cập /admin/customers với vai trò ANONYMOUS</t>
  </si>
  <si>
    <t>GET /admin/customers, role=ANONYMOUS</t>
  </si>
  <si>
    <t>IT-088</t>
  </si>
  <si>
    <t>Truy cập /admin/customers với vai trò CUSTOMER</t>
  </si>
  <si>
    <t>GET /admin/customers, role=CUSTOMER</t>
  </si>
  <si>
    <t>IT-089</t>
  </si>
  <si>
    <t>Truy cập /admin/customers với vai trò STAFF</t>
  </si>
  <si>
    <t>GET /admin/customers, role=STAFF</t>
  </si>
  <si>
    <t>IT-090</t>
  </si>
  <si>
    <t>Truy cập /admin/customers với vai trò ADMIN</t>
  </si>
  <si>
    <t>GET /admin/customers, role=ADMIN</t>
  </si>
  <si>
    <t>IT-091</t>
  </si>
  <si>
    <t>Truy cập /admin/bookings/walk-in/new với vai trò ANONYMOUS</t>
  </si>
  <si>
    <t>GET /admin/bookings/walk-in/new, role=ANONYMOUS</t>
  </si>
  <si>
    <t>IT-092</t>
  </si>
  <si>
    <t>Truy cập /admin/bookings/walk-in/new với vai trò CUSTOMER</t>
  </si>
  <si>
    <t>GET /admin/bookings/walk-in/new, role=CUSTOMER</t>
  </si>
  <si>
    <t>IT-093</t>
  </si>
  <si>
    <t>Truy cập /admin/bookings/walk-in/new với vai trò STAFF</t>
  </si>
  <si>
    <t>GET /admin/bookings/walk-in/new, role=STAFF</t>
  </si>
  <si>
    <t>IT-094</t>
  </si>
  <si>
    <t>Truy cập /admin/bookings/walk-in/new với vai trò ADMIN</t>
  </si>
  <si>
    <t>GET /admin/bookings/walk-in/new, role=ADMIN</t>
  </si>
  <si>
    <t>IT-095</t>
  </si>
  <si>
    <t>Truy cập /staff/bookings với vai trò ANONYMOUS</t>
  </si>
  <si>
    <t>GET /staff/bookings, role=ANONYMOUS</t>
  </si>
  <si>
    <t>IT-096</t>
  </si>
  <si>
    <t>Truy cập /staff/bookings với vai trò CUSTOMER</t>
  </si>
  <si>
    <t>GET /staff/bookings, role=CUSTOMER</t>
  </si>
  <si>
    <t>IT-097</t>
  </si>
  <si>
    <t>Truy cập /staff/bookings với vai trò STAFF</t>
  </si>
  <si>
    <t>GET /staff/bookings, role=STAFF</t>
  </si>
  <si>
    <t>IT-098</t>
  </si>
  <si>
    <t>Truy cập /staff/bookings với vai trò ADMIN</t>
  </si>
  <si>
    <t>GET /staff/bookings, role=ADMIN</t>
  </si>
  <si>
    <t>IT-099</t>
  </si>
  <si>
    <t>Truy cập /admin/room-types/new với vai trò ANONYMOUS</t>
  </si>
  <si>
    <t>GET /admin/room-types/new, role=ANONYMOUS</t>
  </si>
  <si>
    <t>IT-100</t>
  </si>
  <si>
    <t>Truy cập /admin/room-types/new với vai trò CUSTOMER</t>
  </si>
  <si>
    <t>GET /admin/room-types/new, role=CUSTOMER</t>
  </si>
  <si>
    <t>IT-101</t>
  </si>
  <si>
    <t>Truy cập /admin/room-types/new với vai trò STAFF</t>
  </si>
  <si>
    <t>GET /admin/room-types/new, role=STAFF</t>
  </si>
  <si>
    <t>IT-102</t>
  </si>
  <si>
    <t>Truy cập /admin/room-types/new với vai trò ADMIN</t>
  </si>
  <si>
    <t>GET /admin/room-types/new, role=ADMIN</t>
  </si>
  <si>
    <t>IT-103</t>
  </si>
  <si>
    <t>Truy cập /admin/rooms/new với vai trò ANONYMOUS</t>
  </si>
  <si>
    <t>GET /admin/rooms/new, role=ANONYMOUS</t>
  </si>
  <si>
    <t>IT-104</t>
  </si>
  <si>
    <t>Truy cập /admin/rooms/new với vai trò CUSTOMER</t>
  </si>
  <si>
    <t>GET /admin/rooms/new, role=CUSTOMER</t>
  </si>
  <si>
    <t>IT-105</t>
  </si>
  <si>
    <t>Truy cập /admin/rooms/new với vai trò STAFF</t>
  </si>
  <si>
    <t>GET /admin/rooms/new, role=STAFF</t>
  </si>
  <si>
    <t>IT-106</t>
  </si>
  <si>
    <t>Truy cập /admin/rooms/new với vai trò ADMIN</t>
  </si>
  <si>
    <t>GET /admin/rooms/new, role=ADMIN</t>
  </si>
  <si>
    <t>IT-107</t>
  </si>
  <si>
    <t>Truy cập /admin/combos/new với vai trò ANONYMOUS</t>
  </si>
  <si>
    <t>GET /admin/combos/new, role=ANONYMOUS</t>
  </si>
  <si>
    <t>IT-108</t>
  </si>
  <si>
    <t>Truy cập /admin/combos/new với vai trò CUSTOMER</t>
  </si>
  <si>
    <t>GET /admin/combos/new, role=CUSTOMER</t>
  </si>
  <si>
    <t>IT-109</t>
  </si>
  <si>
    <t>Truy cập /admin/combos/new với vai trò STAFF</t>
  </si>
  <si>
    <t>GET /admin/combos/new, role=STAFF</t>
  </si>
  <si>
    <t>IT-110</t>
  </si>
  <si>
    <t>Truy cập /admin/combos/new với vai trò ADMIN</t>
  </si>
  <si>
    <t>GET /admin/combos/new, role=ADMIN</t>
  </si>
  <si>
    <t>IT-111</t>
  </si>
  <si>
    <t>Truy cập /admin/discount-codes/new với vai trò ANONYMOUS</t>
  </si>
  <si>
    <t>GET /admin/discount-codes/new, role=ANONYMOUS</t>
  </si>
  <si>
    <t>IT-112</t>
  </si>
  <si>
    <t>Truy cập /admin/discount-codes/new với vai trò CUSTOMER</t>
  </si>
  <si>
    <t>GET /admin/discount-codes/new, role=CUSTOMER</t>
  </si>
  <si>
    <t>IT-113</t>
  </si>
  <si>
    <t>Truy cập /admin/discount-codes/new với vai trò STAFF</t>
  </si>
  <si>
    <t>GET /admin/discount-codes/new, role=STAFF</t>
  </si>
  <si>
    <t>IT-114</t>
  </si>
  <si>
    <t>Truy cập /admin/discount-codes/new với vai trò ADMIN</t>
  </si>
  <si>
    <t>GET /admin/discount-codes/new, role=ADMIN</t>
  </si>
  <si>
    <t>IT-115</t>
  </si>
  <si>
    <t>Truy cập /admin/staff-accounts với vai trò STAFF</t>
  </si>
  <si>
    <t>GET /admin/staff-accounts, role=STAFF</t>
  </si>
  <si>
    <t>IT-116</t>
  </si>
  <si>
    <t>Truy cập /admin/staff-accounts với vai trò CUSTOMER</t>
  </si>
  <si>
    <t>GET /admin/staff-accounts, role=CUSTOMER</t>
  </si>
  <si>
    <t>IT-117</t>
  </si>
  <si>
    <t>Danh sách phòng công khai trả đủ model</t>
  </si>
  <si>
    <t>GET /rooms (seed sẵn 1 phòng thật trong H2)</t>
  </si>
  <si>
    <t>HTTP 200, view "rooms", model có "rooms" và "roomTypes"</t>
  </si>
  <si>
    <t>RoomBrowsingIT::publicRoomList_returnsOkWithRoomsAndRoomTypes</t>
  </si>
  <si>
    <t>IT-118</t>
  </si>
  <si>
    <t>Trang tìm phòng khi chưa nhập ngày chỉ hiện form</t>
  </si>
  <si>
    <t>GET /customer/rooms không có tham số</t>
  </si>
  <si>
    <t>HTTP 200, model "searched"=false</t>
  </si>
  <si>
    <t>RoomBrowsingIT::customerRoomSearch_noDates_showsFormOnly</t>
  </si>
  <si>
    <t>IT-119</t>
  </si>
  <si>
    <t>Tìm phòng với ngày nhận ở quá khứ hiện lỗi, không crash</t>
  </si>
  <si>
    <t>GET /customer/rooms?checkIn=&lt;hôm qua&gt;&amp;checkOut=...</t>
  </si>
  <si>
    <t>checkIn ở quá khứ</t>
  </si>
  <si>
    <t>HTTP 200, model có errorMessage</t>
  </si>
  <si>
    <t>RoomBrowsingIT::customerRoomSearch_checkInInPast_showsErrorMessageNotCrash</t>
  </si>
  <si>
    <t>IT-120</t>
  </si>
  <si>
    <t>Tìm phòng với khoảng ngày hợp lệ trả về danh sách phòng trống</t>
  </si>
  <si>
    <t>GET /customer/rooms?checkIn=...&amp;checkOut=... hợp lệ</t>
  </si>
  <si>
    <t>ngày hợp lệ, phòng seed sẵn còn trống</t>
  </si>
  <si>
    <t>HTTP 200, model có "rooms", KHÔNG có errorMessage</t>
  </si>
  <si>
    <t>RoomBrowsingIT::customerRoomSearch_validRange_returnsAvailableRooms</t>
  </si>
  <si>
    <t>IT-121</t>
  </si>
  <si>
    <t>Chi tiết phòng khi chưa chọn ngày chỉ hiện thông tin cơ bản</t>
  </si>
  <si>
    <t>GET /customer/rooms/{id} không kèm ngày</t>
  </si>
  <si>
    <t>HTTP 200, view "customer/room-detail", model KHÔNG có "available"</t>
  </si>
  <si>
    <t>RoomBrowsingIT::roomDetail_noDates_showsRoomWithoutAvailability</t>
  </si>
  <si>
    <t>IT-122</t>
  </si>
  <si>
    <t>Chi tiết phòng với ngày hợp lệ và phòng trống tính đúng tổng tiền</t>
  </si>
  <si>
    <t>GET /customer/rooms/{id}?checkIn=...&amp;checkOut=... (2 đêm)</t>
  </si>
  <si>
    <t>phòng 300.000đ/đêm, 2 đêm, còn trống</t>
  </si>
  <si>
    <t>model "available"=true; "totalAmount"=600.000đ (so sánh theo giá trị, không phụ thuộc scale BigDecimal)</t>
  </si>
  <si>
    <t>RoomBrowsingIT::roomDetail_validDatesAndRoomFree_availableTrueWithCorrectTotal</t>
  </si>
  <si>
    <t>IT-123</t>
  </si>
  <si>
    <t>Xem chi tiết phòng với id KHÔNG tồn tại không được trả lỗi máy chủ (500)</t>
  </si>
  <si>
    <t>GET /customer/rooms/999999 (id chắc chắn không tồn tại)</t>
  </si>
  <si>
    <t>id không tồn tại trong DB</t>
  </si>
  <si>
    <t>Không được trả mã lỗi 5xx — phải hiện trang/thông báo thân thiện cho người dùng</t>
  </si>
  <si>
    <t>RoomBrowsingIT::roomDetail_nonExistingId_doesNotReturnRawServerError</t>
  </si>
  <si>
    <t>IT-124</t>
  </si>
  <si>
    <t>Khách vãng lai đặt phòng thành công qua controller thật</t>
  </si>
  <si>
    <t>POST /customer/bookings/new với đầy đủ thông tin khách vãng lai (CSRF hợp lệ)</t>
  </si>
  <si>
    <t>phòng còn trống, 2 đêm, đủ guestName/guestPhone/guestEmail</t>
  </si>
  <si>
    <t>HTTP 302 → redirect "/customer/bookings/{id}"; có đúng 1 bản ghi booking mới trong DB</t>
  </si>
  <si>
    <t>BookingFlowIT::createBooking_asGuest_succeedsAndRedirectsToBookingView</t>
  </si>
  <si>
    <t>IT-125</t>
  </si>
  <si>
    <t>Đặt phòng trùng lịch bị từ chối, không tạo thêm bản ghi</t>
  </si>
  <si>
    <t>POST /customer/bookings/new với khoảng ngày trùng 1 đơn PENDING có sẵn</t>
  </si>
  <si>
    <t>khoảng ngày trùng đơn hiện có</t>
  </si>
  <si>
    <t>HTTP 200, ở lại view booking-confirm kèm errorMessage; số lượng booking trong DB không đổi</t>
  </si>
  <si>
    <t>BookingFlowIT::createBooking_overlappingDates_rendersErrorAndDoesNotCreateSecondBooking</t>
  </si>
  <si>
    <t>IT-126</t>
  </si>
  <si>
    <t>Xem đơn qua link (khách vãng lai, không cần đăng nhập)</t>
  </si>
  <si>
    <t>GET /customer/bookings/{id} không có session, id là đơn của tài khoản khách vãng lai tự sinh</t>
  </si>
  <si>
    <t>HTTP 200, view "customer/booking-success" (không bị chặn đăng nhập)</t>
  </si>
  <si>
    <t>BookingFlowIT::viewBooking_anonymousGuestLink_accessibleWithoutLogin</t>
  </si>
  <si>
    <t>IT-127</t>
  </si>
  <si>
    <t>Khách đăng nhập xem đơn KHÔNG phải của mình không được trả lỗi máy chủ (500)</t>
  </si>
  <si>
    <t>GET /customer/bookings/{id} với id thuộc về khách khác, đăng nhập là một khách hàng khác (intruder)</t>
  </si>
  <si>
    <t>đơn thuộc khách A, đăng nhập là khách B</t>
  </si>
  <si>
    <t>bookingService.findByIdForCustomer() ném BusinessException từ chối quyền xem — phải trả về mã lỗi dưới 500 (không phải Whitelabel 500)</t>
  </si>
  <si>
    <t>BookingFlowIT::viewBooking_loggedInNonOwner_rejected</t>
  </si>
  <si>
    <t>IT-128</t>
  </si>
  <si>
    <t>Kiểm tra mã giảm giá AJAX với mã không tồn tại</t>
  </si>
  <si>
    <t>GET /customer/bookings/check-discount?code=KHONGTONTAI&amp;...</t>
  </si>
  <si>
    <t>code="KHONGTONTAI"</t>
  </si>
  <si>
    <t>HTTP 200, JSON {"valid": false}</t>
  </si>
  <si>
    <t>BookingFlowIT::checkDiscountCode_unknownCode_returnsInvalidJson</t>
  </si>
  <si>
    <t>IT-129</t>
  </si>
  <si>
    <t>Hủy đơn yêu cầu đăng nhập</t>
  </si>
  <si>
    <t>POST /customer/bookings/{id}/cancel không có session</t>
  </si>
  <si>
    <t>BookingFlowIT::cancelBooking_requiresAuthentication</t>
  </si>
  <si>
    <t>IT-130</t>
  </si>
  <si>
    <t>Chủ đơn hủy đơn PENDING thành công qua controller thật</t>
  </si>
  <si>
    <t>POST /customer/bookings/{id}/cancel, đăng nhập đúng chủ đơn, status=PENDING</t>
  </si>
  <si>
    <t>status=PENDING, đúng chủ đơn</t>
  </si>
  <si>
    <t>HTTP 302; DB cập nhật booking.status=CANCELLED</t>
  </si>
  <si>
    <t>BookingFlowIT::cancelBooking_ownerCancelsPendingBooking_statusBecomesCancelled</t>
  </si>
  <si>
    <t>IT-131</t>
  </si>
  <si>
    <t>Trang chủ tải được cho khách chưa đăng nhập</t>
  </si>
  <si>
    <t>GET / không có session</t>
  </si>
  <si>
    <t>HTTP 200, view "home"</t>
  </si>
  <si>
    <t>ChatbotAndMiscIT::home_anonymous_returnsOk</t>
  </si>
  <si>
    <t>IT-132</t>
  </si>
  <si>
    <t>Chatbot trả lời đúng chủ đề giờ nhận phòng</t>
  </si>
  <si>
    <t>POST /api/chatbot/ask với câu hỏi về giờ nhận phòng (CSRF hợp lệ)</t>
  </si>
  <si>
    <t>message="May gio nhan phong vay ban?"</t>
  </si>
  <si>
    <t>HTTP 200, JSON reply chứa "Giờ nhận phòng"</t>
  </si>
  <si>
    <t>ChatbotAndMiscIT::chatbot_askAboutCheckInTime_returnsRelevantAnswer</t>
  </si>
  <si>
    <t>IT-133</t>
  </si>
  <si>
    <t>Chatbot với câu hỏi rỗng vẫn trả lời mặc định, không lỗi</t>
  </si>
  <si>
    <t>POST /api/chatbot/ask với message rỗng</t>
  </si>
  <si>
    <t>message=""</t>
  </si>
  <si>
    <t>HTTP 200, JSON có field reply (câu trả lời mặc định)</t>
  </si>
  <si>
    <t>ChatbotAndMiscIT::chatbot_emptyMessage_returnsDefaultPromptNotError</t>
  </si>
  <si>
    <t>IT-134</t>
  </si>
  <si>
    <t>Chatbot không yêu cầu đăng nhập</t>
  </si>
  <si>
    <t>POST /api/chatbot/ask không có session đăng nhập</t>
  </si>
  <si>
    <t>HTTP 200 (không bị chặn bởi Security)</t>
  </si>
  <si>
    <t>ChatbotAndMiscIT::chatbot_noLoginRequired</t>
  </si>
  <si>
    <t>IT-135</t>
  </si>
  <si>
    <t>Admin tạo combo mới qua controller thật</t>
  </si>
  <si>
    <t>POST /admin/combos/new (đăng nhập ADMIN) với dữ liệu hợp lệ</t>
  </si>
  <si>
    <t>name="Combo IT Test", price=150.000</t>
  </si>
  <si>
    <t>HTTP 302 → "/admin/combos"; số combo active trong DB tăng thêm 1</t>
  </si>
  <si>
    <t>ChatbotAndMiscIT::createCombo_asAdmin_appearsInActiveComboList</t>
  </si>
  <si>
    <t>IT-136</t>
  </si>
  <si>
    <t>Tạo mã giảm giá trùng code (khác hoa/thường) phải báo lỗi thân thiện, không vỡ 500</t>
  </si>
  <si>
    <t>POST /admin/discount-codes/new tạo mã "DUPTEST", sau đó POST lại với code="duptest" (chữ thường)</t>
  </si>
  <si>
    <t>code đã có="DUPTEST", code nhập lại="duptest"</t>
  </si>
  <si>
    <t>Lần tạo thứ 2 phải trả HTTP 200 kèm model errorMessage "Mã giảm giá này đã tồn tại" — KHÔNG được vỡ ra lỗi ràng buộc unique của DB</t>
  </si>
  <si>
    <t>ChatbotAndMiscIT::createDiscountCode_duplicateCode_rejected</t>
  </si>
  <si>
    <t>IT-137</t>
  </si>
  <si>
    <t>Gắn đơn của khách vãng lai vào tài khoản - email chưa có tài khoản</t>
  </si>
  <si>
    <t>Khách vãng lai đặt phòng bằng email đã/chưa có tài khoản</t>
  </si>
  <si>
    <t>email chưa có tài khoản</t>
  </si>
  <si>
    <t>Tự tạo tài khoản CUSTOMER mới theo email</t>
  </si>
  <si>
    <t>CustomerFlowParamIT::booking_guestAccount</t>
  </si>
  <si>
    <t>IT-138</t>
  </si>
  <si>
    <t>Gắn đơn của khách vãng lai vào tài khoản - email đã có tài khoản</t>
  </si>
  <si>
    <t>email đã có tài khoản</t>
  </si>
  <si>
    <t>Dùng lại tài khoản sẵn có</t>
  </si>
  <si>
    <t>IT-139</t>
  </si>
  <si>
    <t>Lịch phòng khóa đúng ngày đã có khách - đơn 1 đêm</t>
  </si>
  <si>
    <t>Có đơn CONFIRMED N đêm, khách GET /customer/rooms/{id} (trang chi tiết phòng)</t>
  </si>
  <si>
    <t>đơn từ +5, 1 đêm</t>
  </si>
  <si>
    <t>unavailableDates có 1 ngày, không gồm ngày trả</t>
  </si>
  <si>
    <t>CustomerFlowParamIT::roomDetail_unavailableDates</t>
  </si>
  <si>
    <t>IT-140</t>
  </si>
  <si>
    <t>Lịch phòng khóa đúng ngày đã có khách - đơn 2 đêm</t>
  </si>
  <si>
    <t>đơn từ +5, 2 đêm</t>
  </si>
  <si>
    <t>unavailableDates có 2 ngày, không gồm ngày trả</t>
  </si>
  <si>
    <t>IT-141</t>
  </si>
  <si>
    <t>Lịch phòng khóa đúng ngày đã có khách - đơn 4 đêm</t>
  </si>
  <si>
    <t>đơn từ +5, 4 đêm</t>
  </si>
  <si>
    <t>unavailableDates có 4 ngày, không gồm ngày trả</t>
  </si>
  <si>
    <t>IT-142</t>
  </si>
  <si>
    <t>Phòng ở trạng thái AVAILABLE trong kết quả tìm kiếm</t>
  </si>
  <si>
    <t>Đặt phòng ở trạng thái S, khách tìm phòng trống cho ngày mai</t>
  </si>
  <si>
    <t>Xuất hiện = true</t>
  </si>
  <si>
    <t>CustomerFlowParamIT::search_roomStatus</t>
  </si>
  <si>
    <t>IT-143</t>
  </si>
  <si>
    <t>Phòng ở trạng thái MAINTENANCE trong kết quả tìm kiếm</t>
  </si>
  <si>
    <t>Xuất hiện = false</t>
  </si>
  <si>
    <t>IT-144</t>
  </si>
  <si>
    <t>API chatbot trả lời</t>
  </si>
  <si>
    <t>POST /api/chatbot/ask với JSON {"message": câu hỏi} (có CSRF, không đăng nhập)</t>
  </si>
  <si>
    <t>message="Khách sạn ở đâu?"</t>
  </si>
  <si>
    <t>HTTP 200, JSON reply chứa "Phan Tây Nhạc"</t>
  </si>
  <si>
    <t>CustomerFlowParamIT::chatbotApi</t>
  </si>
  <si>
    <t>IT-145</t>
  </si>
  <si>
    <t>message="Số điện thoại liên hệ"</t>
  </si>
  <si>
    <t>HTTP 200, JSON reply chứa "0338932368"</t>
  </si>
  <si>
    <t>IT-146</t>
  </si>
  <si>
    <t>message="Có cần đặt cọc không"</t>
  </si>
  <si>
    <t>HTTP 200, JSON reply chứa "đặt cọc"</t>
  </si>
  <si>
    <t>IT-147</t>
  </si>
  <si>
    <t>message="Thanh toán thế nào"</t>
  </si>
  <si>
    <t>HTTP 200, JSON reply chứa "Tiền mặt"</t>
  </si>
  <si>
    <t>IT-148</t>
  </si>
  <si>
    <t>message="Mấy giờ nhận phòng"</t>
  </si>
  <si>
    <t>IT-149</t>
  </si>
  <si>
    <t>message="xin chào"</t>
  </si>
  <si>
    <t>HTTP 200, JSON reply chứa "trợ lý ảo"</t>
  </si>
  <si>
    <t>IT-150</t>
  </si>
  <si>
    <t>message="abcxyz"</t>
  </si>
  <si>
    <t>HTTP 200, JSON reply chứa "Mình có thể giúp bạn"</t>
  </si>
  <si>
    <t>IT-151</t>
  </si>
  <si>
    <t>Đặt phòng vi phạm nghiệp vụ - trùng lịch với đơn PENDING</t>
  </si>
  <si>
    <t>Khách POST /customer/bookings/new vi phạm quy tắc nghiệp vụ</t>
  </si>
  <si>
    <t>trùng lịch với đơn PENDING</t>
  </si>
  <si>
    <t>Ở lại trang xác nhận kèm errorMessage, không tạo đơn</t>
  </si>
  <si>
    <t>CustomerFlowParamIT::booking_businessRules</t>
  </si>
  <si>
    <t>IT-152</t>
  </si>
  <si>
    <t>Đặt phòng vi phạm nghiệp vụ - trùng lịch với đơn CONFIRMED</t>
  </si>
  <si>
    <t>trùng lịch với đơn CONFIRMED</t>
  </si>
  <si>
    <t>IT-153</t>
  </si>
  <si>
    <t>Đặt phòng vi phạm nghiệp vụ - trùng lịch với đơn CHECKED_IN</t>
  </si>
  <si>
    <t>trùng lịch với đơn CHECKED_IN</t>
  </si>
  <si>
    <t>IT-154</t>
  </si>
  <si>
    <t>Đặt phòng vi phạm nghiệp vụ - phòng đang bảo trì</t>
  </si>
  <si>
    <t>phòng đang bảo trì</t>
  </si>
  <si>
    <t>IT-155</t>
  </si>
  <si>
    <t>Đặt phòng vi phạm nghiệp vụ - ngày nhận ở quá khứ</t>
  </si>
  <si>
    <t>ngày nhận ở quá khứ</t>
  </si>
  <si>
    <t>IT-156</t>
  </si>
  <si>
    <t>Đặt phòng vi phạm nghiệp vụ - ngày trả bằng ngày nhận</t>
  </si>
  <si>
    <t>ngày trả bằng ngày nhận</t>
  </si>
  <si>
    <t>IT-157</t>
  </si>
  <si>
    <t>Đặt phòng vi phạm nghiệp vụ - mã giảm giá không tồn tại</t>
  </si>
  <si>
    <t>mã giảm giá không tồn tại</t>
  </si>
  <si>
    <t>IT-158</t>
  </si>
  <si>
    <t>Đặt phòng vi phạm nghiệp vụ - mã giảm giá không đúng loại khách</t>
  </si>
  <si>
    <t>mã giảm giá không đúng loại khách</t>
  </si>
  <si>
    <t>IT-159</t>
  </si>
  <si>
    <t>Đặt phòng thành công - khách vãng lai chưa đăng nhập</t>
  </si>
  <si>
    <t>Khách (chưa đăng nhập hoặc đã đăng nhập) POST /customer/bookings/new với dữ liệu hợp lệ</t>
  </si>
  <si>
    <t>khách vãng lai chưa đăng nhập, ngày +3 → +4</t>
  </si>
  <si>
    <t>Redirect /customer/bookings/&lt;id&gt;, đơn PENDING, tổng tiền = 400000</t>
  </si>
  <si>
    <t>CustomerFlowParamIT::booking_success</t>
  </si>
  <si>
    <t>IT-160</t>
  </si>
  <si>
    <t>khách vãng lai chưa đăng nhập, ngày +3 → +6</t>
  </si>
  <si>
    <t>Redirect /customer/bookings/&lt;id&gt;, đơn PENDING, tổng tiền = 1200000</t>
  </si>
  <si>
    <t>IT-161</t>
  </si>
  <si>
    <t>Đặt phòng thành công - khách đã đăng nhập</t>
  </si>
  <si>
    <t>khách đã đăng nhập, ngày +3 → +5</t>
  </si>
  <si>
    <t>Redirect /customer/bookings/&lt;id&gt;, đơn PENDING, tổng tiền = 800000</t>
  </si>
  <si>
    <t>IT-162</t>
  </si>
  <si>
    <t>Khách khác thao tác trên đơn không phải của mình - xem chi tiết</t>
  </si>
  <si>
    <t>Tạo đơn của khách A, người dùng B (đã đăng nhập) thao tác trên đơn đó</t>
  </si>
  <si>
    <t>xem chi tiết bởi khách B</t>
  </si>
  <si>
    <t>Bị từ chối, đơn không đổi</t>
  </si>
  <si>
    <t>CustomerFlowParamIT::otherCustomerBlocked</t>
  </si>
  <si>
    <t>IT-163</t>
  </si>
  <si>
    <t>hủy đơn bởi khách B</t>
  </si>
  <si>
    <t>IT-164</t>
  </si>
  <si>
    <t>đổi giờ bởi khách B</t>
  </si>
  <si>
    <t>IT-165</t>
  </si>
  <si>
    <t>Trang chi tiết đơn PENDING - quyền sửa</t>
  </si>
  <si>
    <t>Khách đã đăng nhập xem chi tiết đơn ở trạng thái S (còn 3 ngày tới giờ nhận)</t>
  </si>
  <si>
    <t>GET /customer/bookings/&lt;id&gt;</t>
  </si>
  <si>
    <t>canModify = {1}</t>
  </si>
  <si>
    <t>CustomerFlowParamIT::detail_canModify</t>
  </si>
  <si>
    <t>IT-166</t>
  </si>
  <si>
    <t>Trang chi tiết đơn CONFIRMED - quyền sửa</t>
  </si>
  <si>
    <t>IT-167</t>
  </si>
  <si>
    <t>Trang chi tiết đơn CHECKED_IN - quyền sửa</t>
  </si>
  <si>
    <t>IT-168</t>
  </si>
  <si>
    <t>Trang chi tiết đơn CHECKED_OUT - quyền sửa</t>
  </si>
  <si>
    <t>IT-169</t>
  </si>
  <si>
    <t>Trang chi tiết đơn CANCELLED - quyền sửa</t>
  </si>
  <si>
    <t>IT-170</t>
  </si>
  <si>
    <t>Danh sách phòng công khai lọc theo loại - lọc theo loại phòng Flow</t>
  </si>
  <si>
    <t>Tạo phòng thuộc 2 loại phòng, GET /rooms?roomTypeId=&lt;id&gt;</t>
  </si>
  <si>
    <t>GET /rooms lọc theo loại phòng Flow</t>
  </si>
  <si>
    <t>Chỉ chứa phòng đúng loại</t>
  </si>
  <si>
    <t>CustomerFlowParamIT::publicRooms_filterByType</t>
  </si>
  <si>
    <t>IT-171</t>
  </si>
  <si>
    <t>Danh sách phòng công khai lọc theo loại - không lọc</t>
  </si>
  <si>
    <t>GET /rooms không lọc</t>
  </si>
  <si>
    <t>IT-172</t>
  </si>
  <si>
    <t>Đặt phòng kèm mã WELCOME10 - khách NEW</t>
  </si>
  <si>
    <t>Khách đã đăng nhập loại T đặt phòng 2 đêm (800.000) kèm mã giảm giá</t>
  </si>
  <si>
    <t>mã WELCOME10 (10% cho khách mới), khách NEW</t>
  </si>
  <si>
    <t>Tổng tiền lưu = 720000</t>
  </si>
  <si>
    <t>CustomerFlowParamIT::booking_withDiscount</t>
  </si>
  <si>
    <t>IT-173</t>
  </si>
  <si>
    <t>Đặt phòng kèm mã QUEN50K - khách REGULAR</t>
  </si>
  <si>
    <t>mã QUEN50K (50.000 cho khách quen), khách REGULAR</t>
  </si>
  <si>
    <t>Tổng tiền lưu = 750000</t>
  </si>
  <si>
    <t>IT-174</t>
  </si>
  <si>
    <t>Đặt phòng kèm mã VIP25 - khách VIP</t>
  </si>
  <si>
    <t>mã VIP25 (25% cho khách VIP), khách VIP</t>
  </si>
  <si>
    <t>Tổng tiền lưu = 600000</t>
  </si>
  <si>
    <t>IT-175</t>
  </si>
  <si>
    <t>Đặt phòng kèm mã TATCA100K - khách VIP</t>
  </si>
  <si>
    <t>mã TATCA100K (100.000 cho mọi khách), khách VIP</t>
  </si>
  <si>
    <t>Tổng tiền lưu = 700000</t>
  </si>
  <si>
    <t>IT-176</t>
  </si>
  <si>
    <t>Đặt phòng bị từ chối - họ tên trống</t>
  </si>
  <si>
    <t>Khách POST /customer/bookings/new với dữ liệu sai (validation phía controller)</t>
  </si>
  <si>
    <t>guestName="", guestPhone="0912345678", guestEmail="a@gmail.com"</t>
  </si>
  <si>
    <t>Ở lại trang xác nhận, báo lỗi trường, không tạo đơn</t>
  </si>
  <si>
    <t>CustomerFlowParamIT::booking_validation</t>
  </si>
  <si>
    <t>IT-177</t>
  </si>
  <si>
    <t>Đặt phòng bị từ chối - SĐT 9 số</t>
  </si>
  <si>
    <t>guestName="Khách", guestPhone="091234567", guestEmail="a@gmail.com"</t>
  </si>
  <si>
    <t>IT-178</t>
  </si>
  <si>
    <t>Đặt phòng bị từ chối - SĐT có chữ</t>
  </si>
  <si>
    <t>guestName="Khách", guestPhone="09123abcde", guestEmail="a@gmail.com"</t>
  </si>
  <si>
    <t>IT-179</t>
  </si>
  <si>
    <t>Đặt phòng bị từ chối - SĐT không bắt đầu bằng 0</t>
  </si>
  <si>
    <t>guestName="Khách", guestPhone="1912345678", guestEmail="a@gmail.com"</t>
  </si>
  <si>
    <t>IT-180</t>
  </si>
  <si>
    <t>Đặt phòng bị từ chối - SĐT trống</t>
  </si>
  <si>
    <t>guestName="Khách", guestPhone="", guestEmail="a@gmail.com"</t>
  </si>
  <si>
    <t>IT-181</t>
  </si>
  <si>
    <t>Đặt phòng bị từ chối - email sai</t>
  </si>
  <si>
    <t>guestName="Khách", guestPhone="0912345678", guestEmail="khongphaiemail"</t>
  </si>
  <si>
    <t>IT-182</t>
  </si>
  <si>
    <t>Đặt phòng bị từ chối - email trống</t>
  </si>
  <si>
    <t>guestName="Khách", guestPhone="0912345678", guestEmail=""</t>
  </si>
  <si>
    <t>IT-183</t>
  </si>
  <si>
    <t>Đặt phòng bị từ chối - email thiếu tên miền</t>
  </si>
  <si>
    <t>guestName="Khách", guestPhone="0912345678", guestEmail="a@"</t>
  </si>
  <si>
    <t>IT-184</t>
  </si>
  <si>
    <t>Tìm phòng với ngày không hợp lệ - ngày nhận ở quá khứ</t>
  </si>
  <si>
    <t>Khách GET /customer/rooms với ngày không hợp lệ</t>
  </si>
  <si>
    <t>checkIn=+-1, checkOut=+2</t>
  </si>
  <si>
    <t>Trang 200, hiển thị errorMessage, không có kết quả</t>
  </si>
  <si>
    <t>CustomerFlowParamIT::search_invalidDates</t>
  </si>
  <si>
    <t>IT-185</t>
  </si>
  <si>
    <t>Tìm phòng với ngày không hợp lệ - ngày trả bằng ngày nhận</t>
  </si>
  <si>
    <t>checkIn=+3, checkOut=+3</t>
  </si>
  <si>
    <t>IT-186</t>
  </si>
  <si>
    <t>Tìm phòng với ngày không hợp lệ - ngày trả trước ngày nhận</t>
  </si>
  <si>
    <t>checkIn=+5, checkOut=+2</t>
  </si>
  <si>
    <t>IT-187</t>
  </si>
  <si>
    <t>Lọc theo số khách 1 (phòng chứa tối đa 2)</t>
  </si>
  <si>
    <t>Loại phòng có sức chứa 2 người, khách tìm với số khách G</t>
  </si>
  <si>
    <t>Phòng xuất hiện = true</t>
  </si>
  <si>
    <t>CustomerFlowParamIT::search_capacity</t>
  </si>
  <si>
    <t>IT-188</t>
  </si>
  <si>
    <t>Lọc theo số khách 2 (phòng chứa tối đa 2)</t>
  </si>
  <si>
    <t>IT-189</t>
  </si>
  <si>
    <t>Lọc theo số khách 3 (phòng chứa tối đa 2)</t>
  </si>
  <si>
    <t>Phòng xuất hiện = false</t>
  </si>
  <si>
    <t>IT-190</t>
  </si>
  <si>
    <t>Lọc theo số khách 6 (phòng chứa tối đa 2)</t>
  </si>
  <si>
    <t>guests=6</t>
  </si>
  <si>
    <t>IT-191</t>
  </si>
  <si>
    <t>Chi tiết phòng tính tiền 1 đêm, combo 0</t>
  </si>
  <si>
    <t>Khách GET /customer/rooms/{id}?checkIn&amp;checkOut&amp;comboId (có/không combo)</t>
  </si>
  <si>
    <t>400.000/đêm × 1 + combo 0</t>
  </si>
  <si>
    <t>totalAmount = 400000, available = true</t>
  </si>
  <si>
    <t>CustomerFlowParamIT::roomDetail_total</t>
  </si>
  <si>
    <t>IT-192</t>
  </si>
  <si>
    <t>Chi tiết phòng tính tiền 3 đêm, combo 0</t>
  </si>
  <si>
    <t>400.000/đêm × 3 + combo 0</t>
  </si>
  <si>
    <t>totalAmount = 1200000, available = true</t>
  </si>
  <si>
    <t>IT-193</t>
  </si>
  <si>
    <t>Chi tiết phòng tính tiền 2 đêm, combo 399000</t>
  </si>
  <si>
    <t>400.000/đêm × 2 + combo 399000</t>
  </si>
  <si>
    <t>totalAmount = 1199000, available = true</t>
  </si>
  <si>
    <t>IT-194</t>
  </si>
  <si>
    <t>Chi tiết phòng tính tiền 7 đêm, combo 299000</t>
  </si>
  <si>
    <t>400.000/đêm × 7 + combo 299000</t>
  </si>
  <si>
    <t>totalAmount = 3099000, available = true</t>
  </si>
  <si>
    <t>IT-195</t>
  </si>
  <si>
    <t>Khách đổi combo sang không combo</t>
  </si>
  <si>
    <t>Khách đăng nhập POST /customer/bookings/{id}/edit-combo, đơn 800.000 còn 3 ngày</t>
  </si>
  <si>
    <t>POST .../edit-combo comboId=không combo</t>
  </si>
  <si>
    <t>Tổng tiền mới = 800000</t>
  </si>
  <si>
    <t>CustomerFlowParamIT::customerEditCombo</t>
  </si>
  <si>
    <t>IT-196</t>
  </si>
  <si>
    <t>Khách đổi combo sang Lẩu 399.000</t>
  </si>
  <si>
    <t>POST .../edit-combo comboId=Lẩu 399.000</t>
  </si>
  <si>
    <t>Tổng tiền mới = 1199000</t>
  </si>
  <si>
    <t>IT-197</t>
  </si>
  <si>
    <t>Khách đổi combo sang Nướng 299.000</t>
  </si>
  <si>
    <t>POST .../edit-combo comboId=Nướng 299.000</t>
  </si>
  <si>
    <t>Tổng tiền mới = 1099000</t>
  </si>
  <si>
    <t>IT-198</t>
  </si>
  <si>
    <t>Kiểm tra trùng lịch theo khoảng ngày</t>
  </si>
  <si>
    <t>Có đơn CONFIRMED từ ngày +10 đến +13, khách tìm phòng với khoảng ngày theo bộ dữ liệu</t>
  </si>
  <si>
    <t>tìm từ +7 đến +10 (đơn có sẵn +10 → +13)</t>
  </si>
  <si>
    <t>Phòng còn trống = true</t>
  </si>
  <si>
    <t>CustomerFlowParamIT::search_intervalOverlap</t>
  </si>
  <si>
    <t>IT-199</t>
  </si>
  <si>
    <t>tìm từ +8 đến +11 (đơn có sẵn +10 → +13)</t>
  </si>
  <si>
    <t>Phòng còn trống = false</t>
  </si>
  <si>
    <t>IT-200</t>
  </si>
  <si>
    <t>tìm từ +10 đến +13 (đơn có sẵn +10 → +13)</t>
  </si>
  <si>
    <t>IT-201</t>
  </si>
  <si>
    <t>tìm từ +11 đến +12 (đơn có sẵn +10 → +13)</t>
  </si>
  <si>
    <t>IT-202</t>
  </si>
  <si>
    <t>tìm từ +12 đến +15 (đơn có sẵn +10 → +13)</t>
  </si>
  <si>
    <t>IT-203</t>
  </si>
  <si>
    <t>tìm từ +13 đến +15 (đơn có sẵn +10 → +13)</t>
  </si>
  <si>
    <t>IT-204</t>
  </si>
  <si>
    <t>tìm từ +9 đến +14 (đơn có sẵn +10 → +13)</t>
  </si>
  <si>
    <t>IT-205</t>
  </si>
  <si>
    <t>tìm từ +14 đến +16 (đơn có sẵn +10 → +13)</t>
  </si>
  <si>
    <t>IT-206</t>
  </si>
  <si>
    <t>Lịch sử đặt phòng phân trang - 3 đơn, trang 1</t>
  </si>
  <si>
    <t>Tạo N đơn của khách, GET /customer/bookings?page=P</t>
  </si>
  <si>
    <t>3 đơn, page=1</t>
  </si>
  <si>
    <t>Hiển thị 3 đơn, totalPages = 1</t>
  </si>
  <si>
    <t>CustomerFlowParamIT::history_pagination</t>
  </si>
  <si>
    <t>IT-207</t>
  </si>
  <si>
    <t>Lịch sử đặt phòng phân trang - 12 đơn, trang 1</t>
  </si>
  <si>
    <t>12 đơn, page=1</t>
  </si>
  <si>
    <t>Hiển thị 10 đơn, totalPages = 2</t>
  </si>
  <si>
    <t>IT-208</t>
  </si>
  <si>
    <t>Lịch sử đặt phòng phân trang - 12 đơn, trang 2</t>
  </si>
  <si>
    <t>12 đơn, page=2</t>
  </si>
  <si>
    <t>Hiển thị 2 đơn, totalPages = 2</t>
  </si>
  <si>
    <t>IT-209</t>
  </si>
  <si>
    <t>Lịch sử đặt phòng phân trang - 12 đơn, trang 5</t>
  </si>
  <si>
    <t>12 đơn, page=5</t>
  </si>
  <si>
    <t>IT-210</t>
  </si>
  <si>
    <t>Khách hủy đơn đang PENDING</t>
  </si>
  <si>
    <t>Khách đăng nhập POST /customer/bookings/{id}/cancel với đơn ở trạng thái S</t>
  </si>
  <si>
    <t>POST .../cancel</t>
  </si>
  <si>
    <t>Trạng thái sau = CANCELLED</t>
  </si>
  <si>
    <t>CustomerFlowParamIT::customerCancel</t>
  </si>
  <si>
    <t>IT-211</t>
  </si>
  <si>
    <t>Khách hủy đơn đang CONFIRMED</t>
  </si>
  <si>
    <t>IT-212</t>
  </si>
  <si>
    <t>Khách hủy đơn đang CHECKED_IN</t>
  </si>
  <si>
    <t>Trạng thái sau = CHECKED_IN</t>
  </si>
  <si>
    <t>IT-213</t>
  </si>
  <si>
    <t>Khách hủy đơn đang CHECKED_OUT</t>
  </si>
  <si>
    <t>Trạng thái sau = CHECKED_OUT</t>
  </si>
  <si>
    <t>IT-214</t>
  </si>
  <si>
    <t>Khách hủy đơn đang CANCELLED</t>
  </si>
  <si>
    <t>IT-215</t>
  </si>
  <si>
    <t>Trang xác nhận điền sẵn thông tin - khách đã đăng nhập</t>
  </si>
  <si>
    <t>Khách đã đăng nhập GET /customer/bookings/new (trang xác nhận)</t>
  </si>
  <si>
    <t>GET /customer/bookings/new bởi khách đã đăng nhập</t>
  </si>
  <si>
    <t>guestName/guestEmail/guestPhone điền sẵn = true, giờ mặc định 14:00/12:00</t>
  </si>
  <si>
    <t>CustomerFlowParamIT::confirmForm_prefill</t>
  </si>
  <si>
    <t>IT-216</t>
  </si>
  <si>
    <t>Trang xác nhận điền sẵn thông tin - khách chưa đăng nhập</t>
  </si>
  <si>
    <t>GET /customer/bookings/new bởi khách chưa đăng nhập</t>
  </si>
  <si>
    <t>guestName/guestEmail/guestPhone điền sẵn = false, giờ mặc định 14:00/12:00</t>
  </si>
  <si>
    <t>IT-217</t>
  </si>
  <si>
    <t>Khách đổi giờ nhận/trả, còn 120 phút</t>
  </si>
  <si>
    <t>Khách đăng nhập POST /customer/bookings/{id}/edit-time (15:00/11:00), đơn PENDING còn M phút tới giờ nhận</t>
  </si>
  <si>
    <t>POST .../edit-time</t>
  </si>
  <si>
    <t>Đổi được = false</t>
  </si>
  <si>
    <t>CustomerFlowParamIT::customerEditTime</t>
  </si>
  <si>
    <t>IT-218</t>
  </si>
  <si>
    <t>Khách đổi giờ nhận/trả, còn 330 phút</t>
  </si>
  <si>
    <t>IT-219</t>
  </si>
  <si>
    <t>Khách đổi giờ nhận/trả, còn 400 phút</t>
  </si>
  <si>
    <t>Đổi được = true</t>
  </si>
  <si>
    <t>IT-220</t>
  </si>
  <si>
    <t>IT-221</t>
  </si>
  <si>
    <t>Mở phòng không tồn tại</t>
  </si>
  <si>
    <t>Truy cập trang chi tiết với id không tồn tại</t>
  </si>
  <si>
    <t>GET /customer/rooms/987654</t>
  </si>
  <si>
    <t>HTTP 404 với trang lỗi thân thiện error/business-error</t>
  </si>
  <si>
    <t>CustomerFlowParamIT::notFoundFriendly</t>
  </si>
  <si>
    <t>IT-222</t>
  </si>
  <si>
    <t>Mở phòng (trang quản trị) không tồn tại</t>
  </si>
  <si>
    <t>GET /admin/rooms/987654/view</t>
  </si>
  <si>
    <t>IT-223</t>
  </si>
  <si>
    <t>Mở đơn đặt phòng không tồn tại</t>
  </si>
  <si>
    <t>GET /customer/bookings/987654</t>
  </si>
  <si>
    <t>IT-224</t>
  </si>
  <si>
    <t>Phòng có đơn PENDING trùng ngày có hiện trong kết quả tìm kiếm</t>
  </si>
  <si>
    <t>Tạo đơn trạng thái S trên phòng trong khoảng ngày tìm kiếm, khách GET /customer/rooms?checkIn&amp;checkOut</t>
  </si>
  <si>
    <t>booking.status=PENDING trùng ngày</t>
  </si>
  <si>
    <t>CustomerFlowParamIT::search_overlapByStatus</t>
  </si>
  <si>
    <t>IT-225</t>
  </si>
  <si>
    <t>Phòng có đơn CONFIRMED trùng ngày có hiện trong kết quả tìm kiếm</t>
  </si>
  <si>
    <t>booking.status=CONFIRMED trùng ngày</t>
  </si>
  <si>
    <t>IT-226</t>
  </si>
  <si>
    <t>Phòng có đơn CHECKED_IN trùng ngày có hiện trong kết quả tìm kiếm</t>
  </si>
  <si>
    <t>booking.status=CHECKED_IN trùng ngày</t>
  </si>
  <si>
    <t>IT-227</t>
  </si>
  <si>
    <t>Phòng có đơn CHECKED_OUT trùng ngày có hiện trong kết quả tìm kiếm</t>
  </si>
  <si>
    <t>booking.status=CHECKED_OUT trùng ngày</t>
  </si>
  <si>
    <t>IT-228</t>
  </si>
  <si>
    <t>Phòng có đơn CANCELLED trùng ngày có hiện trong kết quả tìm kiếm</t>
  </si>
  <si>
    <t>booking.status=CANCELLED trùng ngày</t>
  </si>
  <si>
    <t>IT-229</t>
  </si>
  <si>
    <t>Kiểm tra mã giảm giá qua AJAX - mã % hợp lệ</t>
  </si>
  <si>
    <t>Gọi AJAX GET /customer/bookings/check-discount với mã theo bộ dữ liệu (phòng 400.000 × 2 đêm)</t>
  </si>
  <si>
    <t>code="SALE10", người gọi: khách chưa đăng nhập (coi là NEW)</t>
  </si>
  <si>
    <t>valid = true, discountAmount = 80000</t>
  </si>
  <si>
    <t>CustomerFlowParamIT::checkDiscountAjax</t>
  </si>
  <si>
    <t>IT-230</t>
  </si>
  <si>
    <t>Kiểm tra mã giảm giá qua AJAX - khách gõ mã chữ thường</t>
  </si>
  <si>
    <t>code="sale10", người gọi: khách chưa đăng nhập (coi là NEW)</t>
  </si>
  <si>
    <t>IT-231</t>
  </si>
  <si>
    <t>Kiểm tra mã giảm giá qua AJAX - mã cố định</t>
  </si>
  <si>
    <t>code="GIAM50K", người gọi: khách chưa đăng nhập (coi là NEW)</t>
  </si>
  <si>
    <t>valid = true, discountAmount = 50000</t>
  </si>
  <si>
    <t>IT-232</t>
  </si>
  <si>
    <t>Kiểm tra mã giảm giá qua AJAX - mã đã tắt</t>
  </si>
  <si>
    <t>code="DATAT", người gọi: khách chưa đăng nhập (coi là NEW)</t>
  </si>
  <si>
    <t>valid = false, discountAmount = -</t>
  </si>
  <si>
    <t>IT-233</t>
  </si>
  <si>
    <t>Kiểm tra mã giảm giá qua AJAX - mã không tồn tại</t>
  </si>
  <si>
    <t>code="ABCXYZ", người gọi: khách chưa đăng nhập (coi là NEW)</t>
  </si>
  <si>
    <t>IT-234</t>
  </si>
  <si>
    <t>Kiểm tra mã giảm giá qua AJAX - mã VIP với khách mới</t>
  </si>
  <si>
    <t>code="VIPONLY", người gọi: khách chưa đăng nhập (coi là NEW)</t>
  </si>
  <si>
    <t>IT-235</t>
  </si>
  <si>
    <t>Kiểm tra mã giảm giá qua AJAX - mã VIP với khách VIP</t>
  </si>
  <si>
    <t>code="VIPONLY", người gọi: khách VIP đã đăng nhập</t>
  </si>
  <si>
    <t>valid = true, discountAmount = 160000</t>
  </si>
  <si>
    <t>IT-236</t>
  </si>
  <si>
    <t>Kiểm tra mã giảm giá qua AJAX - mã cố định lớn hơn tạm tính</t>
  </si>
  <si>
    <t>code="GIAM5TR", người gọi: khách chưa đăng nhập (coi là NEW)</t>
  </si>
  <si>
    <t>valid = true, discountAmount = 800000</t>
  </si>
  <si>
    <t>IT-237</t>
  </si>
  <si>
    <t>Xác nhận đơn qua controller thật cập nhật đúng DB</t>
  </si>
  <si>
    <t>POST /admin/bookings/{id}/confirm (đăng nhập ADMIN), status=PENDING</t>
  </si>
  <si>
    <t>HTTP 302 → "/admin/bookings/{id}"; DB cập nhật status=CONFIRMED</t>
  </si>
  <si>
    <t>AdminBookingFlowIT::confirmBooking_pendingToConfirmed_viaRealController</t>
  </si>
  <si>
    <t>IT-238</t>
  </si>
  <si>
    <t>Check-in cập nhật cả đơn và phòng trong DB</t>
  </si>
  <si>
    <t>POST /admin/bookings/{id}/check-in (đăng nhập STAFF), status=CONFIRMED</t>
  </si>
  <si>
    <t>DB: booking.status=CHECKED_IN; room.status=OCCUPIED</t>
  </si>
  <si>
    <t>AdminBookingFlowIT::checkIn_confirmedBooking_setsRoomOccupiedInDb</t>
  </si>
  <si>
    <t>IT-239</t>
  </si>
  <si>
    <t>Check-in đơn chưa xác nhận bị từ chối, DB không đổi</t>
  </si>
  <si>
    <t>POST /admin/bookings/{id}/check-in khi status=PENDING</t>
  </si>
  <si>
    <t>HTTP 302 kèm flash errorMessage; DB vẫn giữ status=PENDING (không đổi)</t>
  </si>
  <si>
    <t>AdminBookingFlowIT::checkIn_pendingBooking_rejectedWithFlashErrorAndNoStatusChange</t>
  </si>
  <si>
    <t>IT-240</t>
  </si>
  <si>
    <t>Check-out cập nhật cả đơn và phòng trong DB</t>
  </si>
  <si>
    <t>POST /admin/bookings/{id}/check-out khi status=CHECKED_IN</t>
  </si>
  <si>
    <t>DB: booking.status=CHECKED_OUT; room.status=NOT_READY</t>
  </si>
  <si>
    <t>AdminBookingFlowIT::checkOut_checkedInBooking_setsRoomNotReady</t>
  </si>
  <si>
    <t>IT-241</t>
  </si>
  <si>
    <t>Nhân viên (STAFF) được phép hủy đơn PENDING</t>
  </si>
  <si>
    <t>POST /admin/bookings/{id}/cancel (đăng nhập STAFF), status=PENDING</t>
  </si>
  <si>
    <t>role=STAFF, status=PENDING</t>
  </si>
  <si>
    <t>DB cập nhật status=CANCELLED</t>
  </si>
  <si>
    <t>AdminBookingFlowIT::cancel_pendingBooking_staffAllowedToCancel</t>
  </si>
  <si>
    <t>IT-242</t>
  </si>
  <si>
    <t>Lọc danh sách đơn theo trạng thái qua controller thật</t>
  </si>
  <si>
    <t>GET /admin/bookings?status=PENDING (đăng nhập ADMIN)</t>
  </si>
  <si>
    <t>HTTP 200, view "admin/bookings/list"</t>
  </si>
  <si>
    <t>AdminBookingFlowIT::listBookings_filterByStatus_onlyReturnsMatching</t>
  </si>
  <si>
    <t>IT-243</t>
  </si>
  <si>
    <t>Chặn tài khoản CUSTOMER truy cập danh sách đơn quản trị</t>
  </si>
  <si>
    <t>GET /admin/bookings đăng nhập bằng tài khoản CUSTOMER</t>
  </si>
  <si>
    <t>HTTP 403 Forbidden</t>
  </si>
  <si>
    <t>AdminBookingFlowIT::listBookings_customerRole_forbidden</t>
  </si>
  <si>
    <t>IT-244</t>
  </si>
  <si>
    <t>Đặt phòng tại quầy (walk-in) tạo đơn CONFIRMED qua controller thật</t>
  </si>
  <si>
    <t>POST /admin/bookings/walk-in/new (đăng nhập STAFF) với khách vãng lai chưa có tài khoản</t>
  </si>
  <si>
    <t>guestName/guestPhone/guestEmail mới, phòng còn trống</t>
  </si>
  <si>
    <t>HTTP 302 → "/admin/bookings"; DB có booking mới với status=CONFIRMED</t>
  </si>
  <si>
    <t>AdminBookingFlowIT::walkInBooking_create_savesConfirmedBookingWithoutExistingAccount</t>
  </si>
  <si>
    <t>IT-245</t>
  </si>
  <si>
    <t>Chặn tài khoản CUSTOMER truy cập dashboard quản trị</t>
  </si>
  <si>
    <t>GET /admin/dashboard đăng nhập bằng tài khoản CUSTOMER</t>
  </si>
  <si>
    <t>AdminBookingFlowIT::dashboard_customerRole_forbidden</t>
  </si>
  <si>
    <t>IT-246</t>
  </si>
  <si>
    <t>Admin xem dashboard trả đủ số liệu thống kê thật từ DB</t>
  </si>
  <si>
    <t>GET /admin/dashboard đăng nhập ADMIN</t>
  </si>
  <si>
    <t>HTTP 200, view "admin/dashboard"; model có totalRooms/availableRooms/pendingBookings</t>
  </si>
  <si>
    <t>AdminBookingFlowIT::dashboard_adminRole_returnsStatsOk</t>
  </si>
  <si>
    <t>IT-247</t>
  </si>
  <si>
    <t>Mở chi tiết đơn tắt cờ cảnh báo - STAFF</t>
  </si>
  <si>
    <t>Tạo đơn có cờ đơn mới, nhân viên GET /admin/bookings/{id}, đọc lại cờ từ DB</t>
  </si>
  <si>
    <t>GET /admin/bookings/&lt;id&gt; bởi STAFF</t>
  </si>
  <si>
    <t>newBooking = false sau khi xem</t>
  </si>
  <si>
    <t>AdminOperationsParamIT::detailClearsNewFlag</t>
  </si>
  <si>
    <t>IT-248</t>
  </si>
  <si>
    <t>Mở chi tiết đơn tắt cờ cảnh báo - ADMIN</t>
  </si>
  <si>
    <t>GET /admin/bookings/&lt;id&gt; bởi ADMIN</t>
  </si>
  <si>
    <t>IT-249</t>
  </si>
  <si>
    <t>Xem phòng &amp; tính tiền tại quầy - 1 đêm</t>
  </si>
  <si>
    <t>Nhân viên GET /admin/rooms/{id}/view với ngày nhận/trả theo bộ dữ liệu</t>
  </si>
  <si>
    <t>GET /admin/rooms/&lt;id&gt;/view?checkIn=+3&amp;checkOut=+4</t>
  </si>
  <si>
    <t>totalAmount = 300000</t>
  </si>
  <si>
    <t>AdminOperationsParamIT::roomViewCalculates</t>
  </si>
  <si>
    <t>IT-250</t>
  </si>
  <si>
    <t>Xem phòng &amp; tính tiền tại quầy - 2 đêm</t>
  </si>
  <si>
    <t>GET /admin/rooms/&lt;id&gt;/view?checkIn=+3&amp;checkOut=+5</t>
  </si>
  <si>
    <t>totalAmount = 600000</t>
  </si>
  <si>
    <t>IT-251</t>
  </si>
  <si>
    <t>Xem phòng &amp; tính tiền tại quầy - 5 đêm</t>
  </si>
  <si>
    <t>GET /admin/rooms/&lt;id&gt;/view?checkIn=+3&amp;checkOut=+8</t>
  </si>
  <si>
    <t>totalAmount = 1500000</t>
  </si>
  <si>
    <t>IT-252</t>
  </si>
  <si>
    <t>Dashboard với khoảng ngày mặc định</t>
  </si>
  <si>
    <t>Nhân viên GET /admin/dashboard với tham số ngày theo bộ dữ liệu</t>
  </si>
  <si>
    <t>fromDate=, toDate=</t>
  </si>
  <si>
    <t>Trang 200, model có đủ số liệu và 3 bộ dữ liệu biểu đồ; from ≤ to</t>
  </si>
  <si>
    <t>AdminOperationsParamIT::dashboard</t>
  </si>
  <si>
    <t>IT-253</t>
  </si>
  <si>
    <t>Dashboard với khoảng ngày 1 tuần</t>
  </si>
  <si>
    <t>fromDate=2026-03-01, toDate=2026-03-07</t>
  </si>
  <si>
    <t>IT-254</t>
  </si>
  <si>
    <t>Dashboard với khoảng ngày nhập ngược thứ tự (tự đảo)</t>
  </si>
  <si>
    <t>fromDate=2026-03-31, toDate=2026-03-01</t>
  </si>
  <si>
    <t>IT-255</t>
  </si>
  <si>
    <t>Dashboard với khoảng ngày cả năm</t>
  </si>
  <si>
    <t>fromDate=2026-01-01, toDate=2026-12-31</t>
  </si>
  <si>
    <t>IT-256</t>
  </si>
  <si>
    <t>Thêm loại phòng - hợp lệ</t>
  </si>
  <si>
    <t>ADMIN POST /admin/room-types/new với dữ liệu theo bộ test</t>
  </si>
  <si>
    <t>name="Phòng gia đình", basePrice=900000, maxGuests=4</t>
  </si>
  <si>
    <t>Lưu thành công = true</t>
  </si>
  <si>
    <t>AdminOperationsParamIT::roomTypeCreate</t>
  </si>
  <si>
    <t>IT-257</t>
  </si>
  <si>
    <t>Thêm loại phòng - tên trống</t>
  </si>
  <si>
    <t>name="", basePrice=900000, maxGuests=4</t>
  </si>
  <si>
    <t>Lưu thành công = false</t>
  </si>
  <si>
    <t>IT-258</t>
  </si>
  <si>
    <t>Thêm loại phòng - giá 0</t>
  </si>
  <si>
    <t>name="Phòng A", basePrice=0, maxGuests=2</t>
  </si>
  <si>
    <t>IT-259</t>
  </si>
  <si>
    <t>Thêm loại phòng - sức chứa 0</t>
  </si>
  <si>
    <t>name="Phòng B", basePrice=500000, maxGuests=0</t>
  </si>
  <si>
    <t>IT-260</t>
  </si>
  <si>
    <t>Thêm loại phòng - giá không phải số</t>
  </si>
  <si>
    <t>name="Phòng C", basePrice=abc, maxGuests=2</t>
  </si>
  <si>
    <t>IT-261</t>
  </si>
  <si>
    <t>Xóa loại phòng chưa có phòng nào</t>
  </si>
  <si>
    <t>Tạo loại phòng có/không có phòng, nhân viên POST /admin/room-types/{id}/delete</t>
  </si>
  <si>
    <t>POST /admin/room-types/&lt;id&gt;/delete</t>
  </si>
  <si>
    <t>Loại phòng còn trong DB = false</t>
  </si>
  <si>
    <t>AdminOperationsParamIT::roomTypeDelete</t>
  </si>
  <si>
    <t>IT-262</t>
  </si>
  <si>
    <t>Xóa loại phòng đang có phòng</t>
  </si>
  <si>
    <t>Loại phòng còn trong DB = true</t>
  </si>
  <si>
    <t>IT-263</t>
  </si>
  <si>
    <t>Thêm combo - hợp lệ</t>
  </si>
  <si>
    <t>ADMIN POST /admin/combos/new (multipart) với dữ liệu theo bộ test</t>
  </si>
  <si>
    <t>name="Nướng Than Hoa", price=799000, maxGuests=[2]</t>
  </si>
  <si>
    <t>AdminOperationsParamIT::comboCreate</t>
  </si>
  <si>
    <t>IT-264</t>
  </si>
  <si>
    <t>Thêm combo - phòng thường giá 0</t>
  </si>
  <si>
    <t>name="Phòng thường", price=0, maxGuests=[]</t>
  </si>
  <si>
    <t>IT-265</t>
  </si>
  <si>
    <t>Thêm combo - tên trống</t>
  </si>
  <si>
    <t>name="", price=100000, maxGuests=[2]</t>
  </si>
  <si>
    <t>IT-266</t>
  </si>
  <si>
    <t>Thêm combo - giá âm</t>
  </si>
  <si>
    <t>name="Lẩu", price=-1, maxGuests=[2]</t>
  </si>
  <si>
    <t>IT-267</t>
  </si>
  <si>
    <t>Thêm combo - số người 0</t>
  </si>
  <si>
    <t>name="Lẩu", price=100000, maxGuests=[0]</t>
  </si>
  <si>
    <t>IT-268</t>
  </si>
  <si>
    <t>Thêm mã giảm giá - phần trăm hợp lệ</t>
  </si>
  <si>
    <t>ADMIN POST /admin/discount-codes/new với dữ liệu theo bộ test</t>
  </si>
  <si>
    <t>code="SALE10", type=PERCENTAGE, value=10</t>
  </si>
  <si>
    <t>AdminOperationsParamIT::discountCreate</t>
  </si>
  <si>
    <t>IT-269</t>
  </si>
  <si>
    <t>Thêm mã giảm giá - cố định hợp lệ</t>
  </si>
  <si>
    <t>code="GIAM50K", type=FIXED_AMOUNT, value=50000</t>
  </si>
  <si>
    <t>IT-270</t>
  </si>
  <si>
    <t>Thêm mã giảm giá - chữ thường được chuẩn hóa</t>
  </si>
  <si>
    <t>code="tet2027", type=PERCENTAGE, value=15</t>
  </si>
  <si>
    <t>IT-271</t>
  </si>
  <si>
    <t>Thêm mã giảm giá - phần trăm vượt 100</t>
  </si>
  <si>
    <t>code="SALE150", type=PERCENTAGE, value=150</t>
  </si>
  <si>
    <t>IT-272</t>
  </si>
  <si>
    <t>Thêm mã giảm giá - giá trị 0</t>
  </si>
  <si>
    <t>code="ZERO", type=FIXED_AMOUNT, value=0</t>
  </si>
  <si>
    <t>IT-273</t>
  </si>
  <si>
    <t>Thêm mã giảm giá - mã trống</t>
  </si>
  <si>
    <t>code="", type=PERCENTAGE, value=10</t>
  </si>
  <si>
    <t>IT-274</t>
  </si>
  <si>
    <t>Thêm mã giảm giá - trùng mã có sẵn (khác hoa thường)</t>
  </si>
  <si>
    <t>code="dupcode", type=PERCENTAGE, value=10</t>
  </si>
  <si>
    <t>IT-275</t>
  </si>
  <si>
    <t>Đặt phòng tại quầy lỗi - phòng đã có đơn trùng ngày</t>
  </si>
  <si>
    <t>Nhân viên POST /admin/bookings/walk-in/new với dữ liệu lỗi</t>
  </si>
  <si>
    <t>phòng đã có đơn trùng ngày</t>
  </si>
  <si>
    <t>Ở lại form walk-in kèm errorMessage, không tạo đơn</t>
  </si>
  <si>
    <t>AdminOperationsParamIT::walkInErrors</t>
  </si>
  <si>
    <t>IT-276</t>
  </si>
  <si>
    <t>Đặt phòng tại quầy lỗi - ngày nhận ở quá khứ</t>
  </si>
  <si>
    <t>IT-277</t>
  </si>
  <si>
    <t>Đặt phòng tại quầy lỗi - ngày trả trước ngày nhận</t>
  </si>
  <si>
    <t>ngày trả trước ngày nhận</t>
  </si>
  <si>
    <t>IT-278</t>
  </si>
  <si>
    <t>Đặt phòng tại quầy lỗi - email sai định dạng</t>
  </si>
  <si>
    <t>email sai định dạng</t>
  </si>
  <si>
    <t>IT-279</t>
  </si>
  <si>
    <t>Sửa loại phòng - giá mới 350000</t>
  </si>
  <si>
    <t>Nhân viên POST /admin/room-types/{id}/edit đổi giá cơ bản</t>
  </si>
  <si>
    <t>POST .../edit basePrice=350000</t>
  </si>
  <si>
    <t>Cập nhật = true</t>
  </si>
  <si>
    <t>AdminOperationsParamIT::roomTypeEdit</t>
  </si>
  <si>
    <t>IT-280</t>
  </si>
  <si>
    <t>Sửa loại phòng - giá mới 1</t>
  </si>
  <si>
    <t>POST .../edit basePrice=1</t>
  </si>
  <si>
    <t>IT-281</t>
  </si>
  <si>
    <t>Sửa loại phòng - giá mới 0</t>
  </si>
  <si>
    <t>POST .../edit basePrice=0</t>
  </si>
  <si>
    <t>Cập nhật = false</t>
  </si>
  <si>
    <t>IT-282</t>
  </si>
  <si>
    <t>Đổi trạng thái phòng sang AVAILABLE qua giao diện</t>
  </si>
  <si>
    <t>Nhân viên POST /admin/rooms/{id}/status?status=S, đọc lại phòng</t>
  </si>
  <si>
    <t>POST /admin/rooms/&lt;id&gt;/status, status=AVAILABLE</t>
  </si>
  <si>
    <t>Redirect /admin/rooms, DB lưu AVAILABLE</t>
  </si>
  <si>
    <t>AdminOperationsParamIT::roomChangeStatus</t>
  </si>
  <si>
    <t>IT-283</t>
  </si>
  <si>
    <t>Đổi trạng thái phòng sang BOOKED qua giao diện</t>
  </si>
  <si>
    <t>POST /admin/rooms/&lt;id&gt;/status, status=BOOKED</t>
  </si>
  <si>
    <t>Redirect /admin/rooms, DB lưu BOOKED</t>
  </si>
  <si>
    <t>IT-284</t>
  </si>
  <si>
    <t>Đổi trạng thái phòng sang OCCUPIED qua giao diện</t>
  </si>
  <si>
    <t>POST /admin/rooms/&lt;id&gt;/status, status=OCCUPIED</t>
  </si>
  <si>
    <t>Redirect /admin/rooms, DB lưu OCCUPIED</t>
  </si>
  <si>
    <t>IT-285</t>
  </si>
  <si>
    <t>Đổi trạng thái phòng sang MAINTENANCE qua giao diện</t>
  </si>
  <si>
    <t>POST /admin/rooms/&lt;id&gt;/status, status=MAINTENANCE</t>
  </si>
  <si>
    <t>Redirect /admin/rooms, DB lưu MAINTENANCE</t>
  </si>
  <si>
    <t>IT-286</t>
  </si>
  <si>
    <t>Đổi trạng thái phòng sang NOT_READY qua giao diện</t>
  </si>
  <si>
    <t>POST /admin/rooms/&lt;id&gt;/status, status=NOT_READY</t>
  </si>
  <si>
    <t>Redirect /admin/rooms, DB lưu NOT_READY</t>
  </si>
  <si>
    <t>IT-287</t>
  </si>
  <si>
    <t>confirm khi đơn đang PENDING (bởi STAFF)</t>
  </si>
  <si>
    <t>Tạo đơn ở trạng thái S trong DB, nhân viên POST /admin/bookings/{id}/&lt;thao tác&gt; (có CSRF), đọc lại đơn và phòng từ DB</t>
  </si>
  <si>
    <t>status=PENDING, POST .../confirm</t>
  </si>
  <si>
    <t>Trạng thái sau = CONFIRMED; luôn redirect về trang chi tiết đơn</t>
  </si>
  <si>
    <t>AdminOperationsParamIT::lifecycle</t>
  </si>
  <si>
    <t>IT-288</t>
  </si>
  <si>
    <t>confirm khi đơn đang CONFIRMED (bởi STAFF)</t>
  </si>
  <si>
    <t>status=CONFIRMED, POST .../confirm</t>
  </si>
  <si>
    <t>IT-289</t>
  </si>
  <si>
    <t>confirm khi đơn đang CHECKED_IN (bởi ADMIN)</t>
  </si>
  <si>
    <t>status=CHECKED_IN, POST .../confirm</t>
  </si>
  <si>
    <t>Trạng thái sau = CHECKED_IN; luôn redirect về trang chi tiết đơn</t>
  </si>
  <si>
    <t>IT-290</t>
  </si>
  <si>
    <t>confirm khi đơn đang CHECKED_OUT (bởi ADMIN)</t>
  </si>
  <si>
    <t>status=CHECKED_OUT, POST .../confirm</t>
  </si>
  <si>
    <t>Trạng thái sau = CHECKED_OUT; luôn redirect về trang chi tiết đơn</t>
  </si>
  <si>
    <t>IT-291</t>
  </si>
  <si>
    <t>confirm khi đơn đang CANCELLED (bởi STAFF)</t>
  </si>
  <si>
    <t>status=CANCELLED, POST .../confirm</t>
  </si>
  <si>
    <t>Trạng thái sau = CANCELLED; luôn redirect về trang chi tiết đơn</t>
  </si>
  <si>
    <t>IT-292</t>
  </si>
  <si>
    <t>check-in khi đơn đang PENDING (bởi STAFF)</t>
  </si>
  <si>
    <t>status=PENDING, POST .../check-in</t>
  </si>
  <si>
    <t>Trạng thái sau = PENDING; luôn redirect về trang chi tiết đơn</t>
  </si>
  <si>
    <t>IT-293</t>
  </si>
  <si>
    <t>check-in khi đơn đang CONFIRMED (bởi STAFF)</t>
  </si>
  <si>
    <t>status=CONFIRMED, POST .../check-in</t>
  </si>
  <si>
    <t>IT-294</t>
  </si>
  <si>
    <t>check-in khi đơn đang CHECKED_IN (bởi ADMIN)</t>
  </si>
  <si>
    <t>status=CHECKED_IN, POST .../check-in</t>
  </si>
  <si>
    <t>IT-295</t>
  </si>
  <si>
    <t>check-in khi đơn đang CHECKED_OUT (bởi ADMIN)</t>
  </si>
  <si>
    <t>status=CHECKED_OUT, POST .../check-in</t>
  </si>
  <si>
    <t>IT-296</t>
  </si>
  <si>
    <t>check-in khi đơn đang CANCELLED (bởi STAFF)</t>
  </si>
  <si>
    <t>status=CANCELLED, POST .../check-in</t>
  </si>
  <si>
    <t>IT-297</t>
  </si>
  <si>
    <t>check-out khi đơn đang PENDING (bởi STAFF)</t>
  </si>
  <si>
    <t>status=PENDING, POST .../check-out</t>
  </si>
  <si>
    <t>IT-298</t>
  </si>
  <si>
    <t>check-out khi đơn đang CONFIRMED (bởi ADMIN)</t>
  </si>
  <si>
    <t>status=CONFIRMED, POST .../check-out</t>
  </si>
  <si>
    <t>IT-299</t>
  </si>
  <si>
    <t>check-out khi đơn đang CHECKED_IN (bởi STAFF)</t>
  </si>
  <si>
    <t>status=CHECKED_IN, POST .../check-out</t>
  </si>
  <si>
    <t>IT-300</t>
  </si>
  <si>
    <t>check-out khi đơn đang CHECKED_OUT (bởi ADMIN)</t>
  </si>
  <si>
    <t>status=CHECKED_OUT, POST .../check-out</t>
  </si>
  <si>
    <t>IT-301</t>
  </si>
  <si>
    <t>check-out khi đơn đang CANCELLED (bởi STAFF)</t>
  </si>
  <si>
    <t>status=CANCELLED, POST .../check-out</t>
  </si>
  <si>
    <t>IT-302</t>
  </si>
  <si>
    <t>cancel khi đơn đang PENDING (bởi STAFF)</t>
  </si>
  <si>
    <t>status=PENDING, POST .../cancel</t>
  </si>
  <si>
    <t>IT-303</t>
  </si>
  <si>
    <t>cancel khi đơn đang CONFIRMED (bởi ADMIN)</t>
  </si>
  <si>
    <t>status=CONFIRMED, POST .../cancel</t>
  </si>
  <si>
    <t>IT-304</t>
  </si>
  <si>
    <t>cancel khi đơn đang CHECKED_IN (bởi STAFF)</t>
  </si>
  <si>
    <t>status=CHECKED_IN, POST .../cancel</t>
  </si>
  <si>
    <t>IT-305</t>
  </si>
  <si>
    <t>cancel khi đơn đang CHECKED_OUT (bởi ADMIN)</t>
  </si>
  <si>
    <t>status=CHECKED_OUT, POST .../cancel</t>
  </si>
  <si>
    <t>IT-306</t>
  </si>
  <si>
    <t>cancel khi đơn đang CANCELLED (bởi STAFF)</t>
  </si>
  <si>
    <t>status=CANCELLED, POST .../cancel</t>
  </si>
  <si>
    <t>IT-307</t>
  </si>
  <si>
    <t>Tạo 1 đơn cho mỗi trạng thái, nhân viên GET /admin/bookings?status=S</t>
  </si>
  <si>
    <t>GET /admin/bookings?status=PENDING</t>
  </si>
  <si>
    <t>View admin/bookings/list, model chỉ chứa đơn PENDING</t>
  </si>
  <si>
    <t>AdminOperationsParamIT::listFilter</t>
  </si>
  <si>
    <t>IT-308</t>
  </si>
  <si>
    <t>GET /admin/bookings?status=CONFIRMED</t>
  </si>
  <si>
    <t>View admin/bookings/list, model chỉ chứa đơn CONFIRMED</t>
  </si>
  <si>
    <t>IT-309</t>
  </si>
  <si>
    <t>GET /admin/bookings?status=CHECKED_IN</t>
  </si>
  <si>
    <t>View admin/bookings/list, model chỉ chứa đơn CHECKED_IN</t>
  </si>
  <si>
    <t>IT-310</t>
  </si>
  <si>
    <t>GET /admin/bookings?status=CHECKED_OUT</t>
  </si>
  <si>
    <t>View admin/bookings/list, model chỉ chứa đơn CHECKED_OUT</t>
  </si>
  <si>
    <t>IT-311</t>
  </si>
  <si>
    <t>GET /admin/bookings?status=CANCELLED</t>
  </si>
  <si>
    <t>View admin/bookings/list, model chỉ chứa đơn CANCELLED</t>
  </si>
  <si>
    <t>IT-312</t>
  </si>
  <si>
    <t>Bật/Tắt mã đang active=true</t>
  </si>
  <si>
    <t>Tạo mã active=A, nhân viên POST /admin/discount-codes/{id}/toggle-active rồi khách kiểm tra mã qua /customer/bookings/check-discount</t>
  </si>
  <si>
    <t>toggle rồi check-discount</t>
  </si>
  <si>
    <t>Khách dùng được mã = false</t>
  </si>
  <si>
    <t>AdminOperationsParamIT::discountToggleAffectsCustomer</t>
  </si>
  <si>
    <t>IT-313</t>
  </si>
  <si>
    <t>Bật/Tắt mã đang active=false</t>
  </si>
  <si>
    <t>Khách dùng được mã = true</t>
  </si>
  <si>
    <t>IT-314</t>
  </si>
  <si>
    <t>Tìm đơn theo họ tên</t>
  </si>
  <si>
    <t>Tạo đơn của khách IT, nhân viên GET /admin/bookings?q=&lt;từ khóa&gt;</t>
  </si>
  <si>
    <t>GET /admin/bookings?q=&lt;họ tên của khách&gt;</t>
  </si>
  <si>
    <t>Kết quả có chứa đơn của khách đó</t>
  </si>
  <si>
    <t>AdminOperationsParamIT::listSearch</t>
  </si>
  <si>
    <t>IT-315</t>
  </si>
  <si>
    <t>Tìm đơn theo số điện thoại</t>
  </si>
  <si>
    <t>GET /admin/bookings?q=&lt;số điện thoại của khách&gt;</t>
  </si>
  <si>
    <t>IT-316</t>
  </si>
  <si>
    <t>Tìm đơn theo email</t>
  </si>
  <si>
    <t>GET /admin/bookings?q=&lt;email của khách&gt;</t>
  </si>
  <si>
    <t>IT-317</t>
  </si>
  <si>
    <t>Tìm đơn theo email viết hoa</t>
  </si>
  <si>
    <t>GET /admin/bookings?q=&lt;email viết hoa của khách&gt;</t>
  </si>
  <si>
    <t>IT-318</t>
  </si>
  <si>
    <t>Thêm phòng qua form - dữ liệu hợp lệ</t>
  </si>
  <si>
    <t>ADMIN POST /admin/rooms/new với dữ liệu theo bộ test (multipart, có CSRF)</t>
  </si>
  <si>
    <t>roomNumber="NEW-501", price=450000, có chọn loại = true</t>
  </si>
  <si>
    <t>AdminOperationsParamIT::roomCreate</t>
  </si>
  <si>
    <t>IT-319</t>
  </si>
  <si>
    <t>Thêm phòng qua form - giá bằng 0</t>
  </si>
  <si>
    <t>roomNumber="NEW-502", price=0, có chọn loại = true</t>
  </si>
  <si>
    <t>IT-320</t>
  </si>
  <si>
    <t>Thêm phòng qua form - giá âm</t>
  </si>
  <si>
    <t>roomNumber="NEW-503", price=-1, có chọn loại = true</t>
  </si>
  <si>
    <t>IT-321</t>
  </si>
  <si>
    <t>Thêm phòng qua form - bỏ trống số phòng</t>
  </si>
  <si>
    <t>roomNumber="", price=450000, có chọn loại = true</t>
  </si>
  <si>
    <t>IT-322</t>
  </si>
  <si>
    <t>Thêm phòng qua form - không chọn loại phòng</t>
  </si>
  <si>
    <t>roomNumber="NEW-504", price=450000, có chọn loại = false</t>
  </si>
  <si>
    <t>IT-323</t>
  </si>
  <si>
    <t>Thêm phòng qua form - trùng số phòng đã có</t>
  </si>
  <si>
    <t>roomNumber="DUP", price=450000, có chọn loại = true</t>
  </si>
  <si>
    <t>IT-324</t>
  </si>
  <si>
    <t>Xóa phòng chưa có đơn</t>
  </si>
  <si>
    <t>Tạo phòng có/không có đơn đặt phòng, nhân viên POST /admin/rooms/{id}/delete</t>
  </si>
  <si>
    <t>POST /admin/rooms/&lt;id&gt;/delete</t>
  </si>
  <si>
    <t>Phòng còn trong DB = false</t>
  </si>
  <si>
    <t>AdminOperationsParamIT::roomDelete</t>
  </si>
  <si>
    <t>IT-325</t>
  </si>
  <si>
    <t>Xóa phòng đã có đơn PENDING</t>
  </si>
  <si>
    <t>Phòng còn trong DB = true</t>
  </si>
  <si>
    <t>IT-326</t>
  </si>
  <si>
    <t>Xóa phòng đã có đơn CHECKED_OUT</t>
  </si>
  <si>
    <t>IT-327</t>
  </si>
  <si>
    <t>Đổi loại khách cho tài khoản CUSTOMER sang REGULAR</t>
  </si>
  <si>
    <t>Nhân viên POST /admin/customers/{id}/update-type?customerType=T cho tài khoản vai trò R</t>
  </si>
  <si>
    <t>POST /admin/customers/&lt;id&gt;/update-type</t>
  </si>
  <si>
    <t>Cập nhật thành công</t>
  </si>
  <si>
    <t>AdminOperationsParamIT::customerUpdateType</t>
  </si>
  <si>
    <t>IT-328</t>
  </si>
  <si>
    <t>Đổi loại khách cho tài khoản CUSTOMER sang VIP</t>
  </si>
  <si>
    <t>IT-329</t>
  </si>
  <si>
    <t>Đổi loại khách cho tài khoản CUSTOMER sang NEW</t>
  </si>
  <si>
    <t>IT-330</t>
  </si>
  <si>
    <t>Đổi loại khách cho tài khoản STAFF sang VIP</t>
  </si>
  <si>
    <t>Bị từ chối - trang lỗi thân thiện 404</t>
  </si>
  <si>
    <t>IT-331</t>
  </si>
  <si>
    <t>Xác nhận sẵn sàng khi phòng đang NOT_READY</t>
  </si>
  <si>
    <t>Đặt phòng về trạng thái S, nhân viên POST /admin/rooms/{id}/mark-ready</t>
  </si>
  <si>
    <t>POST /admin/rooms/&lt;id&gt;/mark-ready</t>
  </si>
  <si>
    <t>Trạng thái sau = AVAILABLE</t>
  </si>
  <si>
    <t>AdminOperationsParamIT::roomMarkReady</t>
  </si>
  <si>
    <t>IT-332</t>
  </si>
  <si>
    <t>Xác nhận sẵn sàng khi phòng đang AVAILABLE</t>
  </si>
  <si>
    <t>IT-333</t>
  </si>
  <si>
    <t>Xác nhận sẵn sàng khi phòng đang BOOKED</t>
  </si>
  <si>
    <t>Trạng thái sau = BOOKED</t>
  </si>
  <si>
    <t>IT-334</t>
  </si>
  <si>
    <t>Xác nhận sẵn sàng khi phòng đang OCCUPIED</t>
  </si>
  <si>
    <t>Trạng thái sau = OCCUPIED</t>
  </si>
  <si>
    <t>IT-335</t>
  </si>
  <si>
    <t>Xác nhận sẵn sàng khi phòng đang MAINTENANCE</t>
  </si>
  <si>
    <t>Trạng thái sau = MAINTENANCE</t>
  </si>
  <si>
    <t>IT-336</t>
  </si>
  <si>
    <t>Ẩn/Hiện combo đang active=true</t>
  </si>
  <si>
    <t>Tạo combo active=A, nhân viên POST /admin/combos/{id}/toggle-active, kiểm tra combo có hiện ở trang chi tiết phòng phía khách</t>
  </si>
  <si>
    <t>POST /admin/combos/&lt;id&gt;/toggle-active</t>
  </si>
  <si>
    <t>active = false; combo hiển thị cho khách = false</t>
  </si>
  <si>
    <t>AdminOperationsParamIT::comboToggleVisibleToCustomer</t>
  </si>
  <si>
    <t>IT-337</t>
  </si>
  <si>
    <t>Ẩn/Hiện combo đang active=false</t>
  </si>
  <si>
    <t>active = true; combo hiển thị cho khách = true</t>
  </si>
  <si>
    <t>IT-338</t>
  </si>
  <si>
    <t>Đặt phòng tại quầy 1 đêm, combo = false</t>
  </si>
  <si>
    <t>Nhân viên POST /admin/bookings/walk-in/new với thông tin khách vãng lai, đọc đơn vừa tạo</t>
  </si>
  <si>
    <t>khách vãng lai, 1 đêm</t>
  </si>
  <si>
    <t>Đơn CONFIRMED, không bật cờ đơn mới, tổng tiền = 300000</t>
  </si>
  <si>
    <t>AdminOperationsParamIT::walkInCreatesConfirmed</t>
  </si>
  <si>
    <t>IT-339</t>
  </si>
  <si>
    <t>Đặt phòng tại quầy 2 đêm, combo = false</t>
  </si>
  <si>
    <t>khách vãng lai, 2 đêm</t>
  </si>
  <si>
    <t>Đơn CONFIRMED, không bật cờ đơn mới, tổng tiền = 600000</t>
  </si>
  <si>
    <t>IT-340</t>
  </si>
  <si>
    <t>Đặt phòng tại quầy 3 đêm, combo = true</t>
  </si>
  <si>
    <t>khách vãng lai, 3 đêm</t>
  </si>
  <si>
    <t>Đơn CONFIRMED, không bật cờ đơn mới, tổng tiền = 1099000</t>
  </si>
  <si>
    <t>BỘ TEST CASE SYSTEM TEST – HỆ THỐNG QUẢN LÝ ĐẶT PHÒNG KHÁCH SẠN</t>
  </si>
  <si>
    <t>ST-001</t>
  </si>
  <si>
    <t>Trang chủ tải đúng nội dung</t>
  </si>
  <si>
    <t>Mở trình duyệt (curl), truy cập GET /</t>
  </si>
  <si>
    <t>HTTP 200; hiển thị đúng tiêu đề "Hệ thống quản lý đặt phòng khách sạn"</t>
  </si>
  <si>
    <t>Kiểm thử HTTP thật bằng curl</t>
  </si>
  <si>
    <t>02/10/2026</t>
  </si>
  <si>
    <t>ST-002</t>
  </si>
  <si>
    <t>Trang danh sách phòng công khai tải đúng nội dung</t>
  </si>
  <si>
    <t>GET /rooms</t>
  </si>
  <si>
    <t>HTTP 200; hiển thị đúng tiêu đề "Danh sách phòng"</t>
  </si>
  <si>
    <t>ST-003</t>
  </si>
  <si>
    <t>Trang đăng nhập khách hàng hiển thị đúng form</t>
  </si>
  <si>
    <t>GET /login</t>
  </si>
  <si>
    <t>HTTP 200; hiển thị "Chào mừng trở lại" và form đăng nhập</t>
  </si>
  <si>
    <t>ST-004</t>
  </si>
  <si>
    <t>Trang đăng ký hiển thị đúng form</t>
  </si>
  <si>
    <t>GET /register</t>
  </si>
  <si>
    <t>HTTP 200; hiển thị form đăng ký tài khoản</t>
  </si>
  <si>
    <t>ST-005</t>
  </si>
  <si>
    <t>Trang đăng nhập quản trị tải được</t>
  </si>
  <si>
    <t>GET /admin</t>
  </si>
  <si>
    <t>HTTP 200</t>
  </si>
  <si>
    <t>ST-006</t>
  </si>
  <si>
    <t>Trang tìm phòng phía khách không bắt đăng nhập</t>
  </si>
  <si>
    <t>GET /customer/rooms khi chưa đăng nhập</t>
  </si>
  <si>
    <t>HTTP 200 (không bị chuyển hướng về trang đăng nhập)</t>
  </si>
  <si>
    <t>ST-007</t>
  </si>
  <si>
    <t>GET /customer/bookings khi chưa đăng nhập</t>
  </si>
  <si>
    <t>Redirect (302) tới trang có chứa "/login"</t>
  </si>
  <si>
    <t>ST-008</t>
  </si>
  <si>
    <t>GET /admin/dashboard khi chưa đăng nhập</t>
  </si>
  <si>
    <t>Redirect (302) tới trang có chứa "/admin"</t>
  </si>
  <si>
    <t>ST-009</t>
  </si>
  <si>
    <t>Xem phòng không tồn tại không còn trả lỗi máy chủ</t>
  </si>
  <si>
    <t>Không trả 500; hiển thị trang thông báo "Không tìm thấy..." thân thiện</t>
  </si>
  <si>
    <t>ST-010</t>
  </si>
  <si>
    <t>Footer hiển thị đúng trên trang chủ</t>
  </si>
  <si>
    <t>Quan sát HTML trả về của GET /</t>
  </si>
  <si>
    <t>Có đúng thông tin bản quyền "Booking-Hotel" ở footer</t>
  </si>
  <si>
    <t>ST-011</t>
  </si>
  <si>
    <t>Trang danh sách phòng phải tải trọn vẹn tới hết footer cho khách lần đầu ghé thăm</t>
  </si>
  <si>
    <t>Khách CHƯA từng có session (không cookie) mở thẳng GET /rooms — trang có nhiều CSS/JS nhúng trước khi tới đoạn chatbot-widget đọc "_csrf.token" ở cuối trang</t>
  </si>
  <si>
    <t>khách hoàn toàn mới (chưa có JSESSIONID)</t>
  </si>
  <si>
    <t>Trang phải tải trọn vẹn, có đủ phần footer dùng chung với trang chủ (không bị cắt ngang giữa chừng)</t>
  </si>
  <si>
    <t>ST-012</t>
  </si>
  <si>
    <t>Header trang /admin/dashboard giữ nhân viên trong khu quản trị</t>
  </si>
  <si>
    <t>Đăng nhập nhân viên, mở trang quản trị, kiểm tra liên kết logo/menu trên header</t>
  </si>
  <si>
    <t>phiên STAFF, GET /admin/dashboard</t>
  </si>
  <si>
    <t>Logo trỏ /admin/dashboard, "Danh sách phòng" trỏ /admin/rooms</t>
  </si>
  <si>
    <t>SystemParamST::adminHeaderLinks</t>
  </si>
  <si>
    <t>ST-013</t>
  </si>
  <si>
    <t>Header trang /admin/bookings giữ nhân viên trong khu quản trị</t>
  </si>
  <si>
    <t>phiên STAFF, GET /admin/bookings</t>
  </si>
  <si>
    <t>ST-014</t>
  </si>
  <si>
    <t>Header trang /admin/bookings/walk-in/new giữ nhân viên trong khu quản trị</t>
  </si>
  <si>
    <t>phiên STAFF, GET /admin/bookings/walk-in/new</t>
  </si>
  <si>
    <t>ST-015</t>
  </si>
  <si>
    <t>Header trang /admin/rooms giữ nhân viên trong khu quản trị</t>
  </si>
  <si>
    <t>phiên STAFF, GET /admin/rooms</t>
  </si>
  <si>
    <t>ST-016</t>
  </si>
  <si>
    <t>Header trang /admin/combos giữ nhân viên trong khu quản trị</t>
  </si>
  <si>
    <t>phiên STAFF, GET /admin/combos</t>
  </si>
  <si>
    <t>ST-017</t>
  </si>
  <si>
    <t>Header trang /admin/customers giữ nhân viên trong khu quản trị</t>
  </si>
  <si>
    <t>phiên STAFF, GET /admin/customers</t>
  </si>
  <si>
    <t>ST-018</t>
  </si>
  <si>
    <t>Header bảo mật X-Content-Type-Options trên trang /login</t>
  </si>
  <si>
    <t>Mở trang và đọc các header bảo mật mặc định của Spring Security</t>
  </si>
  <si>
    <t>Có header X-Content-Type-Options: nosniff</t>
  </si>
  <si>
    <t>SystemParamST::securityHeaders</t>
  </si>
  <si>
    <t>ST-019</t>
  </si>
  <si>
    <t>Header bảo mật X-Frame-Options trên trang /login</t>
  </si>
  <si>
    <t>Có header X-Frame-Options: DENY</t>
  </si>
  <si>
    <t>ST-020</t>
  </si>
  <si>
    <t>Header bảo mật X-Content-Type-Options trên trang /admin</t>
  </si>
  <si>
    <t>ST-021</t>
  </si>
  <si>
    <t>Header bảo mật X-Frame-Options trên trang /admin</t>
  </si>
  <si>
    <t>ST-022</t>
  </si>
  <si>
    <t>Header bảo mật Cache-Control trên trang /customer/rooms</t>
  </si>
  <si>
    <t>GET /customer/rooms</t>
  </si>
  <si>
    <t>Có header Cache-Control: no-cache</t>
  </si>
  <si>
    <t>ST-023</t>
  </si>
  <si>
    <t>Mở phòng với id không tồn tại</t>
  </si>
  <si>
    <t>Mở trang chi tiết với id không tồn tại qua HTTP thật</t>
  </si>
  <si>
    <t>GET /customer/rooms/999999</t>
  </si>
  <si>
    <t>HTTP 404, trang lỗi thân thiện (không lộ stack trace)</t>
  </si>
  <si>
    <t>SystemParamST::friendlyNotFound</t>
  </si>
  <si>
    <t>ST-024</t>
  </si>
  <si>
    <t>Mở đơn đặt phòng với id không tồn tại</t>
  </si>
  <si>
    <t>GET /customer/bookings/999999</t>
  </si>
  <si>
    <t>ST-025</t>
  </si>
  <si>
    <t>Trang /admin/dashboard không có liên kết nào dẫn sang giao diện khách hàng</t>
  </si>
  <si>
    <t>Đăng nhập nhân viên, mở trang quản trị, kiểm tra TẤT CẢ liên kết trên trang (header + footer)</t>
  </si>
  <si>
    <t>Không có href="/" hoặc href="/rooms" ở bất kỳ đâu</t>
  </si>
  <si>
    <t>SystemParamST::adminNoCustomerLinks</t>
  </si>
  <si>
    <t>ST-026</t>
  </si>
  <si>
    <t>Trang /admin/bookings không có liên kết nào dẫn sang giao diện khách hàng</t>
  </si>
  <si>
    <t>ST-027</t>
  </si>
  <si>
    <t>Trang /admin/bookings/walk-in/new không có liên kết nào dẫn sang giao diện khách hàng</t>
  </si>
  <si>
    <t>ST-028</t>
  </si>
  <si>
    <t>Trang /admin/rooms không có liên kết nào dẫn sang giao diện khách hàng</t>
  </si>
  <si>
    <t>ST-029</t>
  </si>
  <si>
    <t>Trang / trả về HTML mã hóa UTF-8</t>
  </si>
  <si>
    <t>Mở trang và đọc header Content-Type của phản hồi</t>
  </si>
  <si>
    <t>GET /</t>
  </si>
  <si>
    <t>Content-Type: text/html;charset=UTF-8, tiếng Việt hiển thị đúng</t>
  </si>
  <si>
    <t>SystemParamST::utf8</t>
  </si>
  <si>
    <t>ST-030</t>
  </si>
  <si>
    <t>Trang /rooms trả về HTML mã hóa UTF-8</t>
  </si>
  <si>
    <t>ST-031</t>
  </si>
  <si>
    <t>Trang /login trả về HTML mã hóa UTF-8</t>
  </si>
  <si>
    <t>ST-032</t>
  </si>
  <si>
    <t>Trang /register trả về HTML mã hóa UTF-8</t>
  </si>
  <si>
    <t>ST-033</t>
  </si>
  <si>
    <t>Trang /admin trả về HTML mã hóa UTF-8</t>
  </si>
  <si>
    <t>ST-034</t>
  </si>
  <si>
    <t>Trang /customer/rooms trả về HTML mã hóa UTF-8</t>
  </si>
  <si>
    <t>ST-035</t>
  </si>
  <si>
    <t>Header trang khách /</t>
  </si>
  <si>
    <t>Mở trang phía khách hàng, kiểm tra liên kết logo trên header</t>
  </si>
  <si>
    <t>GET / (chưa đăng nhập)</t>
  </si>
  <si>
    <t>Logo trỏ về trang chủ "/", có link Đăng nhập/Đăng ký</t>
  </si>
  <si>
    <t>SystemParamST::customerHeaderLinks</t>
  </si>
  <si>
    <t>ST-036</t>
  </si>
  <si>
    <t>Header trang khách /rooms</t>
  </si>
  <si>
    <t>GET /rooms (chưa đăng nhập)</t>
  </si>
  <si>
    <t>ST-037</t>
  </si>
  <si>
    <t>Header trang khách /customer/rooms</t>
  </si>
  <si>
    <t>GET /customer/rooms (chưa đăng nhập)</t>
  </si>
  <si>
    <t>ST-038</t>
  </si>
  <si>
    <t>Tìm phòng trên giao diện - ngày hợp lệ</t>
  </si>
  <si>
    <t>Tạo phòng mới, mở /customer/rooms với khoảng ngày theo bộ dữ liệu, tìm số phòng trong HTML</t>
  </si>
  <si>
    <t>checkIn=+1, checkOut=+3</t>
  </si>
  <si>
    <t>Hiển thị phòng vừa tạo</t>
  </si>
  <si>
    <t>SystemParamST::searchUi</t>
  </si>
  <si>
    <t>ST-039</t>
  </si>
  <si>
    <t>Tìm phòng trên giao diện - ngày nhận ở quá khứ</t>
  </si>
  <si>
    <t>checkIn=+-2, checkOut=+1</t>
  </si>
  <si>
    <t>Hiển thị thông báo lỗi quá khứ</t>
  </si>
  <si>
    <t>ST-040</t>
  </si>
  <si>
    <t>Tìm phòng trên giao diện - ngày trả trước ngày nhận</t>
  </si>
  <si>
    <t>checkIn=+4, checkOut=+2</t>
  </si>
  <si>
    <t>Hiển thị thông báo lỗi ngày trả</t>
  </si>
  <si>
    <t>ST-041</t>
  </si>
  <si>
    <t>Trang / hiển thị "Hệ thống quản lý đặt phòng khách sạn"</t>
  </si>
  <si>
    <t>Khởi động ứng dụng thật, trình duyệt (HttpClient) mở trang chưa đăng nhập, đọc HTML trả về</t>
  </si>
  <si>
    <t>HTTP 200, HTML chứa "Hệ thống quản lý đặt phòng khách sạn"</t>
  </si>
  <si>
    <t>SystemParamST::publicPageContent</t>
  </si>
  <si>
    <t>ST-042</t>
  </si>
  <si>
    <t>Trang / hiển thị "Xem danh sách phòng"</t>
  </si>
  <si>
    <t>HTTP 200, HTML chứa "Xem danh sách phòng"</t>
  </si>
  <si>
    <t>ST-043</t>
  </si>
  <si>
    <t>Trang / hiển thị "Chat với tôi"</t>
  </si>
  <si>
    <t>HTTP 200, HTML chứa "Chat với tôi"</t>
  </si>
  <si>
    <t>ST-044</t>
  </si>
  <si>
    <t>Trang / hiển thị "Đăng nhập"</t>
  </si>
  <si>
    <t>HTTP 200, HTML chứa "Đăng nhập"</t>
  </si>
  <si>
    <t>ST-045</t>
  </si>
  <si>
    <t>Trang / hiển thị "Đăng ký"</t>
  </si>
  <si>
    <t>HTTP 200, HTML chứa "Đăng ký"</t>
  </si>
  <si>
    <t>ST-046</t>
  </si>
  <si>
    <t>Trang /rooms hiển thị "Danh sách phòng"</t>
  </si>
  <si>
    <t>HTTP 200, HTML chứa "Danh sách phòng"</t>
  </si>
  <si>
    <t>ST-047</t>
  </si>
  <si>
    <t>Trang /rooms hiển thị "Tìm theo giá"</t>
  </si>
  <si>
    <t>HTTP 200, HTML chứa "Tìm theo giá"</t>
  </si>
  <si>
    <t>ST-048</t>
  </si>
  <si>
    <t>Trang /rooms hiển thị "Loại phòng"</t>
  </si>
  <si>
    <t>HTTP 200, HTML chứa "Loại phòng"</t>
  </si>
  <si>
    <t>ST-049</t>
  </si>
  <si>
    <t>Trang /rooms hiển thị "Từ 1.300.000 VND"</t>
  </si>
  <si>
    <t>HTTP 200, HTML chứa "Từ 1.300.000 VND"</t>
  </si>
  <si>
    <t>ST-050</t>
  </si>
  <si>
    <t>Trang /login hiển thị "Chào mừng trở lại"</t>
  </si>
  <si>
    <t>GET /login (chưa đăng nhập)</t>
  </si>
  <si>
    <t>HTTP 200, HTML chứa "Chào mừng trở lại"</t>
  </si>
  <si>
    <t>ST-051</t>
  </si>
  <si>
    <t>Trang /login hiển thị "Đăng ký ngay"</t>
  </si>
  <si>
    <t>HTTP 200, HTML chứa "Đăng ký ngay"</t>
  </si>
  <si>
    <t>ST-052</t>
  </si>
  <si>
    <t>Trang /login hiển thị "name="username""</t>
  </si>
  <si>
    <t>HTTP 200, HTML chứa "name="username""</t>
  </si>
  <si>
    <t>ST-053</t>
  </si>
  <si>
    <t>Trang /login hiển thị "name="password""</t>
  </si>
  <si>
    <t>HTTP 200, HTML chứa "name="password""</t>
  </si>
  <si>
    <t>ST-054</t>
  </si>
  <si>
    <t>Trang /register hiển thị "name="fullName""</t>
  </si>
  <si>
    <t>GET /register (chưa đăng nhập)</t>
  </si>
  <si>
    <t>HTTP 200, HTML chứa "name="fullName""</t>
  </si>
  <si>
    <t>ST-055</t>
  </si>
  <si>
    <t>Trang /register hiển thị "name="phoneNumber""</t>
  </si>
  <si>
    <t>HTTP 200, HTML chứa "name="phoneNumber""</t>
  </si>
  <si>
    <t>ST-056</t>
  </si>
  <si>
    <t>Trang /register hiển thị "name="confirmPassword""</t>
  </si>
  <si>
    <t>HTTP 200, HTML chứa "name="confirmPassword""</t>
  </si>
  <si>
    <t>ST-057</t>
  </si>
  <si>
    <t>Trang /admin hiển thị "Cổng quản trị"</t>
  </si>
  <si>
    <t>GET /admin (chưa đăng nhập)</t>
  </si>
  <si>
    <t>HTTP 200, HTML chứa "Cổng quản trị"</t>
  </si>
  <si>
    <t>ST-058</t>
  </si>
  <si>
    <t>Trang /admin hiển thị "Email công việc"</t>
  </si>
  <si>
    <t>HTTP 200, HTML chứa "Email công việc"</t>
  </si>
  <si>
    <t>ST-059</t>
  </si>
  <si>
    <t>Trang /admin hiển thị "Quay lại đăng nhập khách hàng"</t>
  </si>
  <si>
    <t>HTTP 200, HTML chứa "Quay lại đăng nhập khách hàng"</t>
  </si>
  <si>
    <t>ST-060</t>
  </si>
  <si>
    <t>Trang /customer/rooms hiển thị "Tìm phòng"</t>
  </si>
  <si>
    <t>HTTP 200, HTML chứa "Tìm phòng"</t>
  </si>
  <si>
    <t>ST-061</t>
  </si>
  <si>
    <t>Trang /customer/rooms hiển thị "Ngày nhận phòng"</t>
  </si>
  <si>
    <t>HTTP 200, HTML chứa "Ngày nhận phòng"</t>
  </si>
  <si>
    <t>ST-062</t>
  </si>
  <si>
    <t>Trang /customer/rooms hiển thị "Số khách"</t>
  </si>
  <si>
    <t>HTTP 200, HTML chứa "Số khách"</t>
  </si>
  <si>
    <t>ST-063</t>
  </si>
  <si>
    <t>Trang /customer/rooms hiển thị "Loại phòng"</t>
  </si>
  <si>
    <t>ST-064</t>
  </si>
  <si>
    <t>Đăng nhập sai mật khẩu báo lỗi đúng</t>
  </si>
  <si>
    <t>Lấy CSRF token thật từ trang /login, POST /login với mật khẩu sai</t>
  </si>
  <si>
    <t>email đúng, mật khẩu sai</t>
  </si>
  <si>
    <t>Redirect tới "/login?error=true"</t>
  </si>
  <si>
    <t>ST-065</t>
  </si>
  <si>
    <t>Đăng nhập Admin đúng cổng quản trị</t>
  </si>
  <si>
    <t>Lấy CSRF token từ /admin, POST /admin/login với admin@hotel.com/admin123</t>
  </si>
  <si>
    <t>tài khoản Admin có sẵn (DataInitializer)</t>
  </si>
  <si>
    <t>Redirect tới "/admin/dashboard"</t>
  </si>
  <si>
    <t>ST-066</t>
  </si>
  <si>
    <t>Admin đăng nhập nhầm cổng khách hàng bị chặn</t>
  </si>
  <si>
    <t>Lấy CSRF token từ /login, POST /login với tài khoản Admin</t>
  </si>
  <si>
    <t>role=ADMIN đăng nhập ở cổng khách hàng</t>
  </si>
  <si>
    <t>Redirect tới "/login?error=wrong_portal"</t>
  </si>
  <si>
    <t>ST-067</t>
  </si>
  <si>
    <t>Đăng ký tài khoản mới thành công qua giao diện thật</t>
  </si>
  <si>
    <t>Lấy CSRF token từ /register, POST /register với dữ liệu hợp lệ, email ngẫu nhiên</t>
  </si>
  <si>
    <t>dữ liệu hợp lệ, email chưa tồn tại</t>
  </si>
  <si>
    <t>Redirect tới "/login?registered=true"</t>
  </si>
  <si>
    <t>ST-068</t>
  </si>
  <si>
    <t>Đăng nhập bằng tài khoản vừa đăng ký xong</t>
  </si>
  <si>
    <t>POST /login bằng chính tài khoản vừa tạo ở bước trước</t>
  </si>
  <si>
    <t>tài khoản vừa đăng ký</t>
  </si>
  <si>
    <t>Redirect tới "/customer/rooms" (đăng nhập thành công)</t>
  </si>
  <si>
    <t>ST-069</t>
  </si>
  <si>
    <t>Sau đăng nhập Admin xem được dashboard thật</t>
  </si>
  <si>
    <t>Dùng cookie phiên từ bước đăng nhập Admin, GET /admin/dashboard</t>
  </si>
  <si>
    <t>đã đăng nhập Admin</t>
  </si>
  <si>
    <t>HTTP 200; hiển thị đúng "Tổng quan hệ thống"</t>
  </si>
  <si>
    <t>ST-070</t>
  </si>
  <si>
    <t>Sau đăng nhập khách hàng xem được lịch sử đặt phòng</t>
  </si>
  <si>
    <t>Dùng cookie phiên khách hàng vừa đăng nhập, GET /customer/bookings</t>
  </si>
  <si>
    <t>đã đăng nhập khách hàng</t>
  </si>
  <si>
    <t>HTTP 200; hiển thị đúng trang "Lịch sử đặt phòng"</t>
  </si>
  <si>
    <t>ST-071</t>
  </si>
  <si>
    <t>Đăng ký trùng email (viết giống hệt)</t>
  </si>
  <si>
    <t>Đăng ký 2 lần cùng một email qua form thật</t>
  </si>
  <si>
    <t>email lần 2 viết giống hệt</t>
  </si>
  <si>
    <t>Lần 2 bị từ chối, chỉ có 1 tài khoản</t>
  </si>
  <si>
    <t>SystemParamST::registerDuplicate</t>
  </si>
  <si>
    <t>ST-072</t>
  </si>
  <si>
    <t>Đăng xuất khách hàng</t>
  </si>
  <si>
    <t>Đăng nhập thật, sau đó gửi POST đăng xuất, rồi truy cập lại trang cần đăng nhập</t>
  </si>
  <si>
    <t>POST /logout</t>
  </si>
  <si>
    <t>Chuyển tới "/login?logout=true"; truy cập lại /customer/bookings bị đưa về trang đăng nhập</t>
  </si>
  <si>
    <t>SystemParamST::logout</t>
  </si>
  <si>
    <t>ST-073</t>
  </si>
  <si>
    <t>Đăng xuất nhân viên</t>
  </si>
  <si>
    <t>POST /admin/logout</t>
  </si>
  <si>
    <t>Chuyển tới "/admin?logout=true"; truy cập lại /admin/dashboard bị đưa về trang đăng nhập</t>
  </si>
  <si>
    <t>ST-074</t>
  </si>
  <si>
    <t>Mở /register lấy CSRF, gửi form đăng ký thật, sau đó thử đăng nhập bằng tài khoản vừa tạo</t>
  </si>
  <si>
    <t>phone="0912000001", password="matkhau123", confirm="matkhau123"</t>
  </si>
  <si>
    <t>SystemParamST::register</t>
  </si>
  <si>
    <t>ST-075</t>
  </si>
  <si>
    <t>phone="0912000002", password="matkhau123", confirm="khac123"</t>
  </si>
  <si>
    <t>ST-076</t>
  </si>
  <si>
    <t>Đăng ký tài khoản - mật khẩu 5 ký tự</t>
  </si>
  <si>
    <t>phone="0912000003", password="abcde", confirm="abcde"</t>
  </si>
  <si>
    <t>ST-077</t>
  </si>
  <si>
    <t>Đăng ký tài khoản - SĐT 9 số</t>
  </si>
  <si>
    <t>phone="091200000", password="matkhau123", confirm="matkhau123"</t>
  </si>
  <si>
    <t>ST-078</t>
  </si>
  <si>
    <t>Đăng ký tài khoản - SĐT có chữ cái</t>
  </si>
  <si>
    <t>phone="09120000ab", password="matkhau123", confirm="matkhau123"</t>
  </si>
  <si>
    <t>ST-079</t>
  </si>
  <si>
    <t>Đăng ký tài khoản - SĐT đầu +84</t>
  </si>
  <si>
    <t>phone="+84912000004", password="matkhau123", confirm="matkhau123"</t>
  </si>
  <si>
    <t>ST-080</t>
  </si>
  <si>
    <t>Đăng nhập bằng email không tồn tại ở cổng /login</t>
  </si>
  <si>
    <t>Gửi form đăng nhập với email không tồn tại trong hệ thống</t>
  </si>
  <si>
    <t>POST /login email=khongton@x.vn</t>
  </si>
  <si>
    <t>Chuyển hướng tới "/login?error=true"</t>
  </si>
  <si>
    <t>SystemParamST::loginUnknownEmail</t>
  </si>
  <si>
    <t>ST-081</t>
  </si>
  <si>
    <t>Đăng nhập bằng email không tồn tại ở cổng /admin/login</t>
  </si>
  <si>
    <t>POST /admin/login email=khongton@x.vn</t>
  </si>
  <si>
    <t>Chuyển hướng tới "/admin?error=true"</t>
  </si>
  <si>
    <t>ST-082</t>
  </si>
  <si>
    <t>Tài khoản mặc định admin@hotel.com đăng nhập được</t>
  </si>
  <si>
    <t>Đăng nhập bằng tài khoản mặc định do DataInitializer tạo khi khởi động</t>
  </si>
  <si>
    <t>admin@hotel.com / admin123</t>
  </si>
  <si>
    <t>Vào được /admin/dashboard</t>
  </si>
  <si>
    <t>SystemParamST::defaultAccounts</t>
  </si>
  <si>
    <t>ST-083</t>
  </si>
  <si>
    <t>Tài khoản mặc định staff@hotel.com đăng nhập được</t>
  </si>
  <si>
    <t>staff@hotel.com / staff123</t>
  </si>
  <si>
    <t>ST-084</t>
  </si>
  <si>
    <t>Đăng nhập cổng khách hàng bằng tài khoản CUSTOMER, mật khẩu đúng</t>
  </si>
  <si>
    <t>Tạo tài khoản, mở trang đăng nhập lấy CSRF, gửi form đăng nhập thật qua HTTP, đọc header Location</t>
  </si>
  <si>
    <t>POST /login</t>
  </si>
  <si>
    <t>Chuyển hướng tới "/customer/rooms"</t>
  </si>
  <si>
    <t>SystemParamST::login</t>
  </si>
  <si>
    <t>ST-085</t>
  </si>
  <si>
    <t>Đăng nhập cổng khách hàng bằng tài khoản CUSTOMER, mật khẩu sai</t>
  </si>
  <si>
    <t>ST-086</t>
  </si>
  <si>
    <t>Đăng nhập cổng khách hàng bằng tài khoản STAFF, mật khẩu đúng</t>
  </si>
  <si>
    <t>Chuyển hướng tới "/login?error=wrong_portal"</t>
  </si>
  <si>
    <t>ST-087</t>
  </si>
  <si>
    <t>Đăng nhập cổng khách hàng bằng tài khoản ADMIN, mật khẩu đúng</t>
  </si>
  <si>
    <t>ST-088</t>
  </si>
  <si>
    <t>Đăng nhập cổng quản trị bằng tài khoản STAFF, mật khẩu đúng</t>
  </si>
  <si>
    <t>POST /admin/login</t>
  </si>
  <si>
    <t>Chuyển hướng tới "/admin/dashboard"</t>
  </si>
  <si>
    <t>ST-089</t>
  </si>
  <si>
    <t>Đăng nhập cổng quản trị bằng tài khoản ADMIN, mật khẩu đúng</t>
  </si>
  <si>
    <t>ST-090</t>
  </si>
  <si>
    <t>Đăng nhập cổng quản trị bằng tài khoản ADMIN, mật khẩu sai</t>
  </si>
  <si>
    <t>ST-091</t>
  </si>
  <si>
    <t>Đăng nhập cổng quản trị bằng tài khoản CUSTOMER, mật khẩu đúng</t>
  </si>
  <si>
    <t>Chuyển hướng tới "/admin?error=wrong_portal"</t>
  </si>
  <si>
    <t>ST-092</t>
  </si>
  <si>
    <t>STAFF mở trang /admin/rooms/new</t>
  </si>
  <si>
    <t>Đăng nhập thật bằng vai trò R, mở trang không thuộc quyền của vai trò đó</t>
  </si>
  <si>
    <t>phiên đăng nhập STAFF, GET /admin/rooms/new</t>
  </si>
  <si>
    <t>SystemParamST::forbiddenPages</t>
  </si>
  <si>
    <t>ST-093</t>
  </si>
  <si>
    <t>STAFF mở trang /admin/combos/new</t>
  </si>
  <si>
    <t>phiên đăng nhập STAFF, GET /admin/combos/new</t>
  </si>
  <si>
    <t>ST-094</t>
  </si>
  <si>
    <t>STAFF mở trang /admin/discount-codes/new</t>
  </si>
  <si>
    <t>phiên đăng nhập STAFF, GET /admin/discount-codes/new</t>
  </si>
  <si>
    <t>ST-095</t>
  </si>
  <si>
    <t>STAFF mở trang /admin/room-types/new</t>
  </si>
  <si>
    <t>phiên đăng nhập STAFF, GET /admin/room-types/new</t>
  </si>
  <si>
    <t>ST-096</t>
  </si>
  <si>
    <t>CUSTOMER mở trang /admin/dashboard</t>
  </si>
  <si>
    <t>phiên đăng nhập CUSTOMER, GET /admin/dashboard</t>
  </si>
  <si>
    <t>ST-097</t>
  </si>
  <si>
    <t>CUSTOMER mở trang /admin/bookings</t>
  </si>
  <si>
    <t>phiên đăng nhập CUSTOMER, GET /admin/bookings</t>
  </si>
  <si>
    <t>ST-098</t>
  </si>
  <si>
    <t>CUSTOMER mở trang /admin/rooms</t>
  </si>
  <si>
    <t>phiên đăng nhập CUSTOMER, GET /admin/rooms</t>
  </si>
  <si>
    <t>ST-099</t>
  </si>
  <si>
    <t>STAFF mở trang /customer/bookings</t>
  </si>
  <si>
    <t>phiên đăng nhập STAFF, GET /customer/bookings</t>
  </si>
  <si>
    <t>ST-100</t>
  </si>
  <si>
    <t>STAFF mở trang /admin/dashboard</t>
  </si>
  <si>
    <t>Đăng nhập thật vào cổng quản trị bằng vai trò R, mở trang quản trị, đọc HTML</t>
  </si>
  <si>
    <t>phiên đăng nhập STAFF, GET /admin/dashboard</t>
  </si>
  <si>
    <t>HTTP 200, hiển thị "Tổng quan hệ thống"</t>
  </si>
  <si>
    <t>SystemParamST::adminPages</t>
  </si>
  <si>
    <t>ST-101</t>
  </si>
  <si>
    <t>STAFF mở trang /admin/bookings</t>
  </si>
  <si>
    <t>phiên đăng nhập STAFF, GET /admin/bookings</t>
  </si>
  <si>
    <t>HTTP 200, hiển thị "Quản lý đặt phòng"</t>
  </si>
  <si>
    <t>ST-102</t>
  </si>
  <si>
    <t>STAFF mở trang /admin/rooms</t>
  </si>
  <si>
    <t>phiên đăng nhập STAFF, GET /admin/rooms</t>
  </si>
  <si>
    <t>HTTP 200, hiển thị "Danh sách phòng"</t>
  </si>
  <si>
    <t>ST-103</t>
  </si>
  <si>
    <t>STAFF mở trang /admin/room-types</t>
  </si>
  <si>
    <t>phiên đăng nhập STAFF, GET /admin/room-types</t>
  </si>
  <si>
    <t>HTTP 200, hiển thị "Danh sách loại phòng"</t>
  </si>
  <si>
    <t>ST-104</t>
  </si>
  <si>
    <t>STAFF mở trang /admin/combos</t>
  </si>
  <si>
    <t>phiên đăng nhập STAFF, GET /admin/combos</t>
  </si>
  <si>
    <t>HTTP 200, hiển thị "Danh sách combo"</t>
  </si>
  <si>
    <t>ST-105</t>
  </si>
  <si>
    <t>STAFF mở trang /admin/discount-codes</t>
  </si>
  <si>
    <t>phiên đăng nhập STAFF, GET /admin/discount-codes</t>
  </si>
  <si>
    <t>HTTP 200, hiển thị "Mã giảm giá"</t>
  </si>
  <si>
    <t>ST-106</t>
  </si>
  <si>
    <t>STAFF mở trang /admin/customers</t>
  </si>
  <si>
    <t>phiên đăng nhập STAFF, GET /admin/customers</t>
  </si>
  <si>
    <t>HTTP 200, hiển thị "Danh sách khách hàng"</t>
  </si>
  <si>
    <t>ST-107</t>
  </si>
  <si>
    <t>STAFF mở trang /admin/bookings/walk-in/new</t>
  </si>
  <si>
    <t>phiên đăng nhập STAFF, GET /admin/bookings/walk-in/new</t>
  </si>
  <si>
    <t>HTTP 200, hiển thị "Đặt phòng tại quầy"</t>
  </si>
  <si>
    <t>ST-108</t>
  </si>
  <si>
    <t>ADMIN mở trang /admin/dashboard</t>
  </si>
  <si>
    <t>phiên đăng nhập ADMIN, GET /admin/dashboard</t>
  </si>
  <si>
    <t>HTTP 200, hiển thị "Đăng nhập thành công với quyền Quản trị viên"</t>
  </si>
  <si>
    <t>ST-109</t>
  </si>
  <si>
    <t>HTTP 200, hiển thị "Đăng nhập thành công với quyền Nhân viên"</t>
  </si>
  <si>
    <t>ST-110</t>
  </si>
  <si>
    <t>ADMIN mở trang /admin/rooms/new</t>
  </si>
  <si>
    <t>phiên đăng nhập ADMIN, GET /admin/rooms/new</t>
  </si>
  <si>
    <t>HTTP 200, hiển thị "Thêm phòng"</t>
  </si>
  <si>
    <t>ST-111</t>
  </si>
  <si>
    <t>ADMIN mở trang /admin/room-types/new</t>
  </si>
  <si>
    <t>phiên đăng nhập ADMIN, GET /admin/room-types/new</t>
  </si>
  <si>
    <t>HTTP 200, hiển thị "Thêm loại phòng"</t>
  </si>
  <si>
    <t>ST-112</t>
  </si>
  <si>
    <t>ADMIN mở trang /admin/combos/new</t>
  </si>
  <si>
    <t>phiên đăng nhập ADMIN, GET /admin/combos/new</t>
  </si>
  <si>
    <t>HTTP 200, hiển thị "Thêm combo"</t>
  </si>
  <si>
    <t>ST-113</t>
  </si>
  <si>
    <t>ADMIN mở trang /admin/discount-codes/new</t>
  </si>
  <si>
    <t>phiên đăng nhập ADMIN, GET /admin/discount-codes/new</t>
  </si>
  <si>
    <t>HTTP 200, hiển thị "Thêm mã giảm giá"</t>
  </si>
  <si>
    <t>ST-114</t>
  </si>
  <si>
    <t>Chatbot trả lời đúng câu hỏi về giờ nhận phòng (qua server thật)</t>
  </si>
  <si>
    <t>POST /api/chatbot/ask kèm CSRF token thật, hỏi về giờ nhận phòng</t>
  </si>
  <si>
    <t>Phản hồi JSON chứa đúng nội dung "Giờ nhận phòng"</t>
  </si>
  <si>
    <t>ST-115</t>
  </si>
  <si>
    <t>Chatbot với câu hỏi rỗng không gây lỗi máy chủ</t>
  </si>
  <si>
    <t>HTTP 200 kèm câu trả lời mặc định, không lỗi 5xx</t>
  </si>
  <si>
    <t>ST-116</t>
  </si>
  <si>
    <t>Chatbot trên server thật trả lời</t>
  </si>
  <si>
    <t>Mở trang chủ lấy CSRF token của widget chatbot, gửi POST /api/chatbot/ask (JSON) như trình duyệt</t>
  </si>
  <si>
    <t>HTTP 200, reply chứa "Phan Tây Nhạc"</t>
  </si>
  <si>
    <t>SystemParamST::chatbot</t>
  </si>
  <si>
    <t>ST-117</t>
  </si>
  <si>
    <t>câu hỏi: "Số điện thoại liên hệ"</t>
  </si>
  <si>
    <t>HTTP 200, reply chứa "0338932368"</t>
  </si>
  <si>
    <t>ST-118</t>
  </si>
  <si>
    <t>câu hỏi: "email khách sạn"</t>
  </si>
  <si>
    <t>HTTP 200, reply chứa "khachsanEAUT@gmail.com"</t>
  </si>
  <si>
    <t>ST-119</t>
  </si>
  <si>
    <t>câu hỏi: "Có cần đặt cọc không"</t>
  </si>
  <si>
    <t>HTTP 200, reply chứa "không yêu cầu đặt cọc"</t>
  </si>
  <si>
    <t>ST-120</t>
  </si>
  <si>
    <t>câu hỏi: "Thanh toán thế nào"</t>
  </si>
  <si>
    <t>HTTP 200, reply chứa "Chuyển khoản"</t>
  </si>
  <si>
    <t>ST-121</t>
  </si>
  <si>
    <t>câu hỏi: "Mấy giờ trả phòng"</t>
  </si>
  <si>
    <t>HTTP 200, reply chứa "Giờ trả phòng"</t>
  </si>
  <si>
    <t>ST-122</t>
  </si>
  <si>
    <t>câu hỏi: "Có hồ bơi không"</t>
  </si>
  <si>
    <t>HTTP 200, reply chứa "Hồ bơi"</t>
  </si>
  <si>
    <t>ST-123</t>
  </si>
  <si>
    <t>câu hỏi: "xin chào"</t>
  </si>
  <si>
    <t>HTTP 200, reply chứa "trợ lý ảo"</t>
  </si>
  <si>
    <t>ST-124</t>
  </si>
  <si>
    <t>HTTP 200, reply chứa "Giá phòng"</t>
  </si>
  <si>
    <t>ST-125</t>
  </si>
  <si>
    <t>câu hỏi: "câu hỏi linh tinh"</t>
  </si>
  <si>
    <t>HTTP 200, reply chứa "Mình có thể giúp bạn"</t>
  </si>
  <si>
    <t>ST-126</t>
  </si>
  <si>
    <t>Chatbot chặn request thiếu CSRF</t>
  </si>
  <si>
    <t>Gửi POST /api/chatbot/ask không kèm CSRF token</t>
  </si>
  <si>
    <t>POST /api/chatbot/ask không có X-CSRF-TOKEN, câu hỏi "xin chào"</t>
  </si>
  <si>
    <t>Request bị Spring Security chặn, không trả về câu trả lời (không phải HTTP 200)</t>
  </si>
  <si>
    <t>SystemParamST::chatbotNeedsCsrf</t>
  </si>
  <si>
    <t>ST-127</t>
  </si>
  <si>
    <t>POST /api/chatbot/ask không có X-CSRF-TOKEN, câu hỏi "Giá phòng bao nhiêu"</t>
  </si>
  <si>
    <t>ST-128</t>
  </si>
  <si>
    <t>Khách vãng lai tìm thấy phòng trống</t>
  </si>
  <si>
    <t>Khách vãng lai mở /customer/rooms, nhập ngày nhận/trả, bấm Tìm phòng</t>
  </si>
  <si>
    <t>checkIn=+20, checkOut=+22, chưa đăng nhập</t>
  </si>
  <si>
    <t>Kết quả tìm kiếm có phòng của kịch bản</t>
  </si>
  <si>
    <t>SystemJourneyST::s01_search</t>
  </si>
  <si>
    <t>ST-129</t>
  </si>
  <si>
    <t>Trang chi tiết phòng tính đúng tổng tiền</t>
  </si>
  <si>
    <t>Bấm Xem chi tiết phòng, chọn khoảng ngày và combo Lẩu</t>
  </si>
  <si>
    <t>2 đêm × 350.000 + combo 399.000</t>
  </si>
  <si>
    <t>Hiển thị "Tổng tiền: 1099000VND" và "Phòng còn trống"</t>
  </si>
  <si>
    <t>SystemJourneyST::s02_detail</t>
  </si>
  <si>
    <t>ST-130</t>
  </si>
  <si>
    <t>Trang xác nhận đặt phòng cho khách vãng lai</t>
  </si>
  <si>
    <t>Bấm Đặt phòng ngay → mở trang xác nhận đặt phòng</t>
  </si>
  <si>
    <t>GET /customer/bookings/new (chưa đăng nhập)</t>
  </si>
  <si>
    <t>Hiển thị form thông tin người nhận, ghi chú không cần đăng nhập, ô mã giảm giá</t>
  </si>
  <si>
    <t>SystemJourneyST::s03_confirmPage</t>
  </si>
  <si>
    <t>ST-131</t>
  </si>
  <si>
    <t>Kiểm tra mã giảm giá trên trang xác nhận</t>
  </si>
  <si>
    <t>Nhập mã HANHTRINH10 và bấm Kiểm tra mã (AJAX)</t>
  </si>
  <si>
    <t>code=HANHTRINH10, tạm tính 1.099.000</t>
  </si>
  <si>
    <t>JSON valid=true, giảm 109900</t>
  </si>
  <si>
    <t>SystemJourneyST::s04_checkDiscount</t>
  </si>
  <si>
    <t>ST-132</t>
  </si>
  <si>
    <t>Khách vãng lai đặt phòng thành công</t>
  </si>
  <si>
    <t>Điền họ tên, email, SĐT, giờ nhận/trả, mã giảm giá rồi bấm Xác nhận đặt phòng</t>
  </si>
  <si>
    <t>POST /customer/bookings/new đủ thông tin + mã HANHTRINH10</t>
  </si>
  <si>
    <t>Chuyển tới trang đơn, trạng thái "Chờ xác nhận", tổng 989100</t>
  </si>
  <si>
    <t>SystemJourneyST::s05_book</t>
  </si>
  <si>
    <t>ST-133</t>
  </si>
  <si>
    <t>Chống đặt trùng phòng trên server thật</t>
  </si>
  <si>
    <t>Khách khác thử đặt cùng phòng, cùng khoảng ngày</t>
  </si>
  <si>
    <t>khách thứ 2 đặt cùng phòng +20 → +22</t>
  </si>
  <si>
    <t>Ở lại trang xác nhận, báo phòng vừa được người khác đặt</t>
  </si>
  <si>
    <t>SystemJourneyST::s06_doubleBooking</t>
  </si>
  <si>
    <t>ST-134</t>
  </si>
  <si>
    <t>Nhân viên thấy đơn mới trong danh sách</t>
  </si>
  <si>
    <t>Nhân viên đăng nhập cổng quản trị, mở Quản lý đặt phòng</t>
  </si>
  <si>
    <t>đăng nhập staff, GET /admin/bookings</t>
  </si>
  <si>
    <t>Có đơn của kịch bản kèm nhãn "Đơn mới"</t>
  </si>
  <si>
    <t>SystemJourneyST::s07_staffSeesNew</t>
  </si>
  <si>
    <t>ST-135</t>
  </si>
  <si>
    <t>Nhân viên xác nhận đơn</t>
  </si>
  <si>
    <t>Nhân viên mở chi tiết đơn và bấm Xác nhận đơn</t>
  </si>
  <si>
    <t>POST /admin/bookings/&lt;id&gt;/confirm</t>
  </si>
  <si>
    <t>Trang chi tiết hiển thị "Đã xác nhận" và nút Check-in</t>
  </si>
  <si>
    <t>SystemJourneyST::s08_confirm</t>
  </si>
  <si>
    <t>ST-136</t>
  </si>
  <si>
    <t>Khách xem đơn sau khi được xác nhận</t>
  </si>
  <si>
    <t>Khách vãng lai mở lại link đơn của mình</t>
  </si>
  <si>
    <t>Trạng thái "Đã xác nhận"</t>
  </si>
  <si>
    <t>SystemJourneyST::s09_guestSeesConfirmed</t>
  </si>
  <si>
    <t>ST-137</t>
  </si>
  <si>
    <t>Check-in cho khách</t>
  </si>
  <si>
    <t>Nhân viên bấm Check-in, sau đó mở danh sách phòng</t>
  </si>
  <si>
    <t>POST /admin/bookings/&lt;id&gt;/check-in</t>
  </si>
  <si>
    <t>Đơn "Đã nhận phòng", phòng chuyển "Đang sử dụng"</t>
  </si>
  <si>
    <t>SystemJourneyST::s10_checkIn</t>
  </si>
  <si>
    <t>ST-138</t>
  </si>
  <si>
    <t>Khách không còn sửa/hủy được đơn đã check-in</t>
  </si>
  <si>
    <t>Khách vãng lai mở lại trang đơn sau khi đã nhận phòng</t>
  </si>
  <si>
    <t>Không còn nút "Hủy đặt phòng"</t>
  </si>
  <si>
    <t>SystemJourneyST::s11_guestCannotCancelAfterCheckIn</t>
  </si>
  <si>
    <t>ST-139</t>
  </si>
  <si>
    <t>Check-out cho khách</t>
  </si>
  <si>
    <t>Nhân viên bấm Check-out</t>
  </si>
  <si>
    <t>POST /admin/bookings/&lt;id&gt;/check-out</t>
  </si>
  <si>
    <t>Đơn "Đã trả phòng", phòng chuyển "Chưa sẵn sàng (đang dọn dẹp)"</t>
  </si>
  <si>
    <t>SystemJourneyST::s12_checkOut</t>
  </si>
  <si>
    <t>ST-140</t>
  </si>
  <si>
    <t>Phòng chờ dọn dẹp có nút xác nhận</t>
  </si>
  <si>
    <t>Nhân viên mở Quản lý phòng</t>
  </si>
  <si>
    <t>GET /admin/rooms</t>
  </si>
  <si>
    <t>Hiển thị nút "Xác nhận sẵn sàng"</t>
  </si>
  <si>
    <t>SystemJourneyST::s13_roomListShowsMarkReady</t>
  </si>
  <si>
    <t>ST-141</t>
  </si>
  <si>
    <t>Xác nhận phòng dọn xong</t>
  </si>
  <si>
    <t>Nhân viên bấm Xác nhận sẵn sàng cho phòng</t>
  </si>
  <si>
    <t>Phòng về "Còn trống"</t>
  </si>
  <si>
    <t>SystemJourneyST::s14_markReady</t>
  </si>
  <si>
    <t>ST-142</t>
  </si>
  <si>
    <t>Dashboard ghi nhận doanh thu đơn vừa hoàn tất</t>
  </si>
  <si>
    <t>Nhân viên mở Dashboard với khoảng ngày hôm nay</t>
  </si>
  <si>
    <t>GET /admin/dashboard?fromDate=hôm nay&amp;toDate=hôm nay</t>
  </si>
  <si>
    <t>Dữ liệu biểu đồ doanh thu có khoản 989.100 của đơn vừa trả phòng</t>
  </si>
  <si>
    <t>SystemJourneyST::s15_dashboard</t>
  </si>
  <si>
    <t>ST-143</t>
  </si>
  <si>
    <t>Khách đã đăng nhập đặt phòng và thấy trong lịch sử</t>
  </si>
  <si>
    <t>Khách hàng đăng nhập, đặt phòng 1 đêm, mở Lịch sử đặt phòng</t>
  </si>
  <si>
    <t>đăng nhập customer, POST /customer/bookings/new</t>
  </si>
  <si>
    <t>Lịch sử có đơn mới, thông tin người nhận điền sẵn từ tài khoản</t>
  </si>
  <si>
    <t>SystemJourneyST::s16_customerBooks</t>
  </si>
  <si>
    <t>ST-144</t>
  </si>
  <si>
    <t>Khách tự đổi giờ nhận/trả phòng</t>
  </si>
  <si>
    <t>Khách mở đơn, chọn giờ nhận 15:00, giờ trả 11:00, bấm Lưu</t>
  </si>
  <si>
    <t>POST /customer/bookings/&lt;id&gt;/edit-time 15:00/11:00</t>
  </si>
  <si>
    <t>Đơn lưu giờ mới 15:00/11:00; nhân viên thấy nhãn "Khách đổi giờ nhận phòng"</t>
  </si>
  <si>
    <t>SystemJourneyST::s17_editTime</t>
  </si>
  <si>
    <t>ST-145</t>
  </si>
  <si>
    <t>Khách tự thêm combo cho đơn</t>
  </si>
  <si>
    <t>Khách chọn combo Lẩu trong mục Đổi/hủy combo, bấm Cập nhật combo</t>
  </si>
  <si>
    <t>POST /customer/bookings/&lt;id&gt;/edit-combo comboId=Lẩu</t>
  </si>
  <si>
    <t>Tổng tiền mới 749000 (350.000 + 399.000)</t>
  </si>
  <si>
    <t>SystemJourneyST::s18_editCombo</t>
  </si>
  <si>
    <t>ST-146</t>
  </si>
  <si>
    <t>Khách tự hủy đơn</t>
  </si>
  <si>
    <t>Khách bấm Hủy đặt phòng và xác nhận</t>
  </si>
  <si>
    <t>POST /customer/bookings/&lt;id&gt;/cancel</t>
  </si>
  <si>
    <t>Đơn hiển thị "Đã hủy"</t>
  </si>
  <si>
    <t>SystemJourneyST::s19_cancel</t>
  </si>
  <si>
    <t>ST-147</t>
  </si>
  <si>
    <t>Đặt phòng tại quầy trên server thật</t>
  </si>
  <si>
    <t>Nhân viên mở form Đặt phòng tại quầy, tìm phòng trống, nhập thông tin khách vãng lai, xác nhận</t>
  </si>
  <si>
    <t>POST /admin/bookings/walk-in/new</t>
  </si>
  <si>
    <t>Về danh sách đặt phòng, đơn mới ở trạng thái "Đã xác nhận"</t>
  </si>
  <si>
    <t>SystemJourneyST::s20_walkIn</t>
  </si>
  <si>
    <t>ST-148</t>
  </si>
  <si>
    <t>Tài khoản khách tại quầy được tạo tự động</t>
  </si>
  <si>
    <t>Nhân viên mở Quản lý khách hàng sau khi đặt tại quầy</t>
  </si>
  <si>
    <t>GET /admin/customers</t>
  </si>
  <si>
    <t>Danh sách có "Khách Tại Quầy" với email @khachvanglai.local</t>
  </si>
  <si>
    <t>SystemJourneyST::s21_walkInAccount</t>
  </si>
  <si>
    <t>ST-149</t>
  </si>
  <si>
    <t>Vòng đời mã giảm giá trên server thật</t>
  </si>
  <si>
    <t>Quản trị viên tạo mã giảm giá mới qua form, khách kiểm tra mã; sau đó quản trị viên tắt mã, khách kiểm tra lại</t>
  </si>
  <si>
    <t>tạo mã → kiểm tra → tắt mã → kiểm tra lại</t>
  </si>
  <si>
    <t>Lần 1 hợp lệ, lần 2 báo "đã ngừng áp dụng"</t>
  </si>
  <si>
    <t>SystemJourneyST::s22_discountLifecycle</t>
  </si>
  <si>
    <t>ST-150</t>
  </si>
  <si>
    <t>Combo bị ẩn biến mất phía khách</t>
  </si>
  <si>
    <t>Quản trị viên ẩn combo Lẩu Hành Trình, khách mở lại trang chi tiết phòng</t>
  </si>
  <si>
    <t>POST /admin/combos/&lt;id&gt;/toggle-active rồi GET trang chi tiết phòng</t>
  </si>
  <si>
    <t>Không còn "Lẩu Hành Trình" trong danh sách chọn combo</t>
  </si>
  <si>
    <t>SystemJourneyST::s23_hideCombo</t>
  </si>
  <si>
    <t>DANH SÁCH LỖI PHÁT HIỆN TRONG QUÁ TRÌNH KIỂM THỬ</t>
  </si>
  <si>
    <t>Tất cả lỗi đã được khắc phục và kiểm chứng lại bằng chính các test case phát hiện ra lỗi.</t>
  </si>
  <si>
    <t>Mã lỗi</t>
  </si>
  <si>
    <t>Mô tả lỗi</t>
  </si>
  <si>
    <t>Phát hiện bởi test case</t>
  </si>
  <si>
    <t>Nguyên nhân</t>
  </si>
  <si>
    <t>Cách khắc phục</t>
  </si>
  <si>
    <t>Đợt</t>
  </si>
  <si>
    <t>Trạng thái</t>
  </si>
  <si>
    <t>BUG-01</t>
  </si>
  <si>
    <t>Form mã giảm giá cho phép lưu mã giảm theo phần trăm lớn hơn 100% (ví dụ "giảm 150%").</t>
  </si>
  <si>
    <t>DiscountCodeRequest không có ràng buộc giới hạn giá trị phần trăm.</t>
  </si>
  <si>
    <t>Thêm @AssertTrue isDiscountValueValid() vào DiscountCodeRequest: mã loại PERCENTAGE phải có giá trị ≤ 100.</t>
  </si>
  <si>
    <t>Đã khắc phục</t>
  </si>
  <si>
    <t>BUG-02</t>
  </si>
  <si>
    <t>Mở chi tiết phòng/đơn với id không tồn tại, hoặc xem đơn của người khác, ứng dụng trả trang lỗi máy chủ 500.</t>
  </si>
  <si>
    <t>IT-123, IT-127</t>
  </si>
  <si>
    <t>BusinessException ném ra từ Service không được bắt ở Controller, hệ thống chưa có xử lý lỗi tập trung.</t>
  </si>
  <si>
    <t>Thêm @ControllerAdvice GlobalExceptionHandler bắt BusinessException, trả trang error/business-error.html (HTTP 404) thân thiện.</t>
  </si>
  <si>
    <t>BUG-03</t>
  </si>
  <si>
    <t>Tạo mã giảm giá trùng nhưng khác chữ hoa/thường ("duptest" và "DUPTEST") lọt qua kiểm tra, gây lỗi 500.</t>
  </si>
  <si>
    <t>UT-357, IT-136</t>
  </si>
  <si>
    <t>existsByCode() so sánh trên chuỗi chưa chuẩn hóa trong khi mã luôn được lưu dạng chữ hoa; lỗi vỡ ở ràng buộc UNIQUE của CSDL.</t>
  </si>
  <si>
    <t>DiscountCodeService.create()/update(): chuẩn hóa mã về chữ hoa trước khi kiểm tra trùng.</t>
  </si>
  <si>
    <t>BUG-04</t>
  </si>
  <si>
    <t>Khách ghé thăm lần đầu mở trang danh sách phòng bị cắt ngang giữa chừng (mất phần footer).</t>
  </si>
  <si>
    <t>CSRF token chỉ được tạo khi fragment chatbot đọc _csrf.token ở cuối trang, lúc response đã được gửi đi nên không tạo được phiên mới.</t>
  </si>
  <si>
    <t>Thêm filter csrfTokenEagerLoadFilter ngay sau CsrfFilter trong cả 2 SecurityFilterChain để tạo token từ đầu request.</t>
  </si>
  <si>
    <t>BUG-05</t>
  </si>
  <si>
    <t>Nhân viên đang đặt phòng tại quầy, bấm logo "Hotel Booking" hoặc "Danh sách phòng" trên header thì bị chuyển sang giao diện khách hàng.</t>
  </si>
  <si>
    <t>Phát hiện khi dùng thử; kiểm chứng bằng ST-012 … ST-017 (6 TC)</t>
  </si>
  <si>
    <t>Header dùng chung cho mọi trang, các liên kết luôn trỏ về trang của khách hàng (/ và /rooms).</t>
  </si>
  <si>
    <t>fragments/header.html: với ADMIN/STAFF, logo trỏ /admin/dashboard và "Danh sách phòng" trỏ /admin/rooms; thêm liên kết "Quay lại" trên form đặt phòng tại quầy.</t>
  </si>
  <si>
    <t>BUG-06</t>
  </si>
  <si>
    <t>Khách gõ mã giảm giá chữ thường ("sale10"): nút "Kiểm tra mã" báo không hợp lệ, nhưng bấm "Xác nhận đặt phòng" thì mã vẫn được giảm.</t>
  </si>
  <si>
    <t>DiscountCodeService.validateAndCalculateDiscount() tra cứu mã nguyên văn, còn BookingService.createBooking() có chuẩn hóa chữ hoa.</t>
  </si>
  <si>
    <t>Chuẩn hóa mã (trim + chữ hoa) trong validateAndCalculateDiscount() giống BookingService.</t>
  </si>
  <si>
    <t>BUG-07</t>
  </si>
  <si>
    <t>Footer của mọi trang quản trị vẫn có liên kết "Trang chủ", "Danh sách phòng" dẫn nhân viên sang giao diện khách hàng.</t>
  </si>
  <si>
    <t>ST-025 … ST-028 (4 TC)</t>
  </si>
  <si>
    <t>Footer dùng chung, chưa phân biệt vai trò người xem (cùng nguyên nhân với BUG-05).</t>
  </si>
  <si>
    <t>fragments/footer.html: với ADMIN/STAFF hiển thị liên kết Tổng quan, Đặt phòng, Phòng trong khu quản trị.</t>
  </si>
  <si>
    <t>CFG-01</t>
  </si>
  <si>
    <t>Lệnh "mvn test" không chạy các lớp Integration test (*IT) đã viết ở đợt 1.</t>
  </si>
  <si>
    <t>Phát hiện khi chạy toàn bộ bộ test đợt 2</t>
  </si>
  <si>
    <t>Maven Surefire mặc định chỉ chạy các lớp có tên *Test.</t>
  </si>
  <si>
    <t>Cấu hình maven-surefire-plugin trong pom.xml chạy cả các lớp *Test.java, *IT.java, *ST.java.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</si>
</sst>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b/>
      <sz val="15"/>
      <color rgb="FF1F4E79"/>
      <name val="Times New Roman"/>
    </font>
    <font>
      <i/>
      <sz val="10"/>
      <color rgb="FF595959"/>
      <name val="Times New Roman"/>
    </font>
    <font>
      <b/>
      <sz val="11"/>
      <color rgb="FFFFFFFF"/>
      <name val="Times New Roman"/>
    </font>
    <font>
      <b/>
      <sz val="10"/>
      <name val="Times New Roman"/>
    </font>
    <font>
      <sz val="10"/>
      <name val="Times New Roman"/>
    </font>
    <font>
      <sz val="10"/>
      <color rgb="FF006100"/>
      <name val="Times New Roman"/>
    </font>
    <font>
      <b/>
      <sz val="11"/>
      <name val="Times New Roman"/>
    </font>
    <font>
      <sz val="11"/>
      <name val="Times New Roman"/>
    </font>
    <font>
      <b/>
      <sz val="12"/>
      <name val="Times New Roman"/>
    </font>
    <font>
      <b/>
      <sz val="12"/>
      <color rgb="FF1F4E79"/>
      <name val="Times New Roman"/>
    </font>
    <font>
      <i/>
      <sz val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top" wrapText="1"/>
    </xf>
    <xf numFmtId="164" fontId="8" fillId="0" borderId="1" xfId="0" applyNumberFormat="1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0" fillId="0" borderId="0" xfId="0"/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6">
    <dxf>
      <font>
        <color rgb="FF006100"/>
        <name val="Times New Roman"/>
      </font>
      <fill>
        <patternFill patternType="solid">
          <fgColor rgb="FFE2EFDA"/>
        </patternFill>
      </fill>
    </dxf>
    <dxf>
      <font>
        <b/>
        <color rgb="FFC00000"/>
        <name val="Times New Roman"/>
      </font>
      <fill>
        <patternFill patternType="solid">
          <fgColor rgb="FFFBE4E4"/>
        </patternFill>
      </fill>
    </dxf>
    <dxf>
      <font>
        <color rgb="FF006100"/>
        <name val="Times New Roman"/>
      </font>
      <fill>
        <patternFill patternType="solid">
          <fgColor rgb="FFE2EFDA"/>
        </patternFill>
      </fill>
    </dxf>
    <dxf>
      <font>
        <b/>
        <color rgb="FFC00000"/>
        <name val="Times New Roman"/>
      </font>
      <fill>
        <patternFill patternType="solid">
          <fgColor rgb="FFFBE4E4"/>
        </patternFill>
      </fill>
    </dxf>
    <dxf>
      <font>
        <color rgb="FF006100"/>
        <name val="Times New Roman"/>
      </font>
      <fill>
        <patternFill patternType="solid">
          <fgColor rgb="FFE2EFDA"/>
        </patternFill>
      </fill>
    </dxf>
    <dxf>
      <font>
        <b/>
        <color rgb="FFC00000"/>
        <name val="Times New Roman"/>
      </font>
      <fill>
        <patternFill patternType="solid">
          <fgColor rgb="FFFBE4E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A1:H32"/>
  <sheetViews>
    <sheetView tabSelected="1" workbookViewId="0">
      <pane ySplit="4" topLeftCell="A5" activePane="bottomLeft" state="frozen"/>
      <selection pane="bottomLeft" sqref="A1:H1"/>
    </sheetView>
  </sheetViews>
  <sheetFormatPr defaultRowHeight="14.4" x14ac:dyDescent="0.3"/>
  <cols>
    <col min="1" max="1" width="24" customWidth="1"/>
    <col min="2" max="2" width="46" customWidth="1"/>
    <col min="3" max="5" width="12" customWidth="1"/>
    <col min="6" max="8" width="14" customWidth="1"/>
  </cols>
  <sheetData>
    <row r="1" spans="1:8" ht="18.600000000000001" x14ac:dyDescent="0.3">
      <c r="A1" s="24" t="s">
        <v>0</v>
      </c>
      <c r="B1" s="21"/>
      <c r="C1" s="21"/>
      <c r="D1" s="21"/>
      <c r="E1" s="21"/>
      <c r="F1" s="21"/>
      <c r="G1" s="21"/>
      <c r="H1" s="21"/>
    </row>
    <row r="2" spans="1:8" ht="30" customHeight="1" x14ac:dyDescent="0.3">
      <c r="A2" s="22" t="s">
        <v>1</v>
      </c>
      <c r="B2" s="21"/>
      <c r="C2" s="21"/>
      <c r="D2" s="21"/>
      <c r="E2" s="21"/>
      <c r="F2" s="21"/>
      <c r="G2" s="21"/>
      <c r="H2" s="21"/>
    </row>
    <row r="4" spans="1:8" ht="31.9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3">
      <c r="A5" s="19" t="s">
        <v>10</v>
      </c>
      <c r="B5" s="3" t="s">
        <v>11</v>
      </c>
      <c r="C5" s="2">
        <f>COUNTIFS('Unit Test'!$B:$B,$B5)</f>
        <v>25</v>
      </c>
      <c r="D5" s="2">
        <f>COUNTIFS('Unit Test'!$B:$B,$B5,'Unit Test'!$G:$G,"Pass")</f>
        <v>25</v>
      </c>
      <c r="E5" s="2">
        <f t="shared" ref="E5:E10" si="0">C5-D5</f>
        <v>0</v>
      </c>
      <c r="F5" s="4">
        <f t="shared" ref="F5:F21" si="1">IF(C5=0,0,D5/C5)</f>
        <v>1</v>
      </c>
      <c r="G5" s="2">
        <f>COUNTIFS('Unit Test'!$B:$B,$B5,'Unit Test'!$H:$H,"Pass")</f>
        <v>25</v>
      </c>
      <c r="H5" s="4">
        <f t="shared" ref="H5:H21" si="2">IF(C5=0,0,G5/C5)</f>
        <v>1</v>
      </c>
    </row>
    <row r="6" spans="1:8" x14ac:dyDescent="0.3">
      <c r="A6" s="19"/>
      <c r="B6" s="3" t="s">
        <v>12</v>
      </c>
      <c r="C6" s="2">
        <f>COUNTIFS('Unit Test'!$B:$B,$B6)</f>
        <v>308</v>
      </c>
      <c r="D6" s="2">
        <f>COUNTIFS('Unit Test'!$B:$B,$B6,'Unit Test'!$G:$G,"Pass")</f>
        <v>308</v>
      </c>
      <c r="E6" s="2">
        <f t="shared" si="0"/>
        <v>0</v>
      </c>
      <c r="F6" s="4">
        <f t="shared" si="1"/>
        <v>1</v>
      </c>
      <c r="G6" s="2">
        <f>COUNTIFS('Unit Test'!$B:$B,$B6,'Unit Test'!$H:$H,"Pass")</f>
        <v>308</v>
      </c>
      <c r="H6" s="4">
        <f t="shared" si="2"/>
        <v>1</v>
      </c>
    </row>
    <row r="7" spans="1:8" x14ac:dyDescent="0.3">
      <c r="A7" s="19"/>
      <c r="B7" s="3" t="s">
        <v>13</v>
      </c>
      <c r="C7" s="2">
        <f>COUNTIFS('Unit Test'!$B:$B,$B7)</f>
        <v>136</v>
      </c>
      <c r="D7" s="2">
        <f>COUNTIFS('Unit Test'!$B:$B,$B7,'Unit Test'!$G:$G,"Pass")</f>
        <v>134</v>
      </c>
      <c r="E7" s="2">
        <f t="shared" si="0"/>
        <v>2</v>
      </c>
      <c r="F7" s="4">
        <f t="shared" si="1"/>
        <v>0.98529411764705888</v>
      </c>
      <c r="G7" s="2">
        <f>COUNTIFS('Unit Test'!$B:$B,$B7,'Unit Test'!$H:$H,"Pass")</f>
        <v>136</v>
      </c>
      <c r="H7" s="4">
        <f t="shared" si="2"/>
        <v>1</v>
      </c>
    </row>
    <row r="8" spans="1:8" x14ac:dyDescent="0.3">
      <c r="A8" s="19"/>
      <c r="B8" s="3" t="s">
        <v>14</v>
      </c>
      <c r="C8" s="2">
        <f>COUNTIFS('Unit Test'!$B:$B,$B8)</f>
        <v>105</v>
      </c>
      <c r="D8" s="2">
        <f>COUNTIFS('Unit Test'!$B:$B,$B8,'Unit Test'!$G:$G,"Pass")</f>
        <v>105</v>
      </c>
      <c r="E8" s="2">
        <f t="shared" si="0"/>
        <v>0</v>
      </c>
      <c r="F8" s="4">
        <f t="shared" si="1"/>
        <v>1</v>
      </c>
      <c r="G8" s="2">
        <f>COUNTIFS('Unit Test'!$B:$B,$B8,'Unit Test'!$H:$H,"Pass")</f>
        <v>105</v>
      </c>
      <c r="H8" s="4">
        <f t="shared" si="2"/>
        <v>1</v>
      </c>
    </row>
    <row r="9" spans="1:8" x14ac:dyDescent="0.3">
      <c r="A9" s="19"/>
      <c r="B9" s="3" t="s">
        <v>15</v>
      </c>
      <c r="C9" s="2">
        <f>COUNTIFS('Unit Test'!$B:$B,$B9)</f>
        <v>53</v>
      </c>
      <c r="D9" s="2">
        <f>COUNTIFS('Unit Test'!$B:$B,$B9,'Unit Test'!$G:$G,"Pass")</f>
        <v>53</v>
      </c>
      <c r="E9" s="2">
        <f t="shared" si="0"/>
        <v>0</v>
      </c>
      <c r="F9" s="4">
        <f t="shared" si="1"/>
        <v>1</v>
      </c>
      <c r="G9" s="2">
        <f>COUNTIFS('Unit Test'!$B:$B,$B9,'Unit Test'!$H:$H,"Pass")</f>
        <v>53</v>
      </c>
      <c r="H9" s="4">
        <f t="shared" si="2"/>
        <v>1</v>
      </c>
    </row>
    <row r="10" spans="1:8" x14ac:dyDescent="0.3">
      <c r="A10" s="19"/>
      <c r="B10" s="3" t="s">
        <v>16</v>
      </c>
      <c r="C10" s="2">
        <f>COUNTIFS('Unit Test'!$B:$B,$B10)</f>
        <v>167</v>
      </c>
      <c r="D10" s="2">
        <f>COUNTIFS('Unit Test'!$B:$B,$B10,'Unit Test'!$G:$G,"Pass")</f>
        <v>167</v>
      </c>
      <c r="E10" s="2">
        <f t="shared" si="0"/>
        <v>0</v>
      </c>
      <c r="F10" s="4">
        <f t="shared" si="1"/>
        <v>1</v>
      </c>
      <c r="G10" s="2">
        <f>COUNTIFS('Unit Test'!$B:$B,$B10,'Unit Test'!$H:$H,"Pass")</f>
        <v>167</v>
      </c>
      <c r="H10" s="4">
        <f t="shared" si="2"/>
        <v>1</v>
      </c>
    </row>
    <row r="11" spans="1:8" x14ac:dyDescent="0.3">
      <c r="A11" s="15" t="s">
        <v>17</v>
      </c>
      <c r="B11" s="16"/>
      <c r="C11" s="5">
        <f>SUM(C5:C10)</f>
        <v>794</v>
      </c>
      <c r="D11" s="5">
        <f>SUM(D5:D10)</f>
        <v>792</v>
      </c>
      <c r="E11" s="5">
        <f>SUM(E5:E10)</f>
        <v>2</v>
      </c>
      <c r="F11" s="6">
        <f t="shared" si="1"/>
        <v>0.9974811083123426</v>
      </c>
      <c r="G11" s="5">
        <f>SUM(G5:G10)</f>
        <v>794</v>
      </c>
      <c r="H11" s="6">
        <f t="shared" si="2"/>
        <v>1</v>
      </c>
    </row>
    <row r="12" spans="1:8" x14ac:dyDescent="0.3">
      <c r="A12" s="19" t="s">
        <v>18</v>
      </c>
      <c r="B12" s="3" t="s">
        <v>19</v>
      </c>
      <c r="C12" s="2">
        <f>COUNTIFS('Integration Test'!$B:$B,$B12)</f>
        <v>116</v>
      </c>
      <c r="D12" s="2">
        <f>COUNTIFS('Integration Test'!$B:$B,$B12,'Integration Test'!$G:$G,"Pass")</f>
        <v>116</v>
      </c>
      <c r="E12" s="2">
        <f>C12-D12</f>
        <v>0</v>
      </c>
      <c r="F12" s="4">
        <f t="shared" si="1"/>
        <v>1</v>
      </c>
      <c r="G12" s="2">
        <f>COUNTIFS('Integration Test'!$B:$B,$B12,'Integration Test'!$H:$H,"Pass")</f>
        <v>116</v>
      </c>
      <c r="H12" s="4">
        <f t="shared" si="2"/>
        <v>1</v>
      </c>
    </row>
    <row r="13" spans="1:8" ht="27.6" x14ac:dyDescent="0.3">
      <c r="A13" s="19"/>
      <c r="B13" s="3" t="s">
        <v>20</v>
      </c>
      <c r="C13" s="2">
        <f>COUNTIFS('Integration Test'!$B:$B,$B13)</f>
        <v>120</v>
      </c>
      <c r="D13" s="2">
        <f>COUNTIFS('Integration Test'!$B:$B,$B13,'Integration Test'!$G:$G,"Pass")</f>
        <v>116</v>
      </c>
      <c r="E13" s="2">
        <f>C13-D13</f>
        <v>4</v>
      </c>
      <c r="F13" s="4">
        <f t="shared" si="1"/>
        <v>0.96666666666666667</v>
      </c>
      <c r="G13" s="2">
        <f>COUNTIFS('Integration Test'!$B:$B,$B13,'Integration Test'!$H:$H,"Pass")</f>
        <v>120</v>
      </c>
      <c r="H13" s="4">
        <f t="shared" si="2"/>
        <v>1</v>
      </c>
    </row>
    <row r="14" spans="1:8" x14ac:dyDescent="0.3">
      <c r="A14" s="19"/>
      <c r="B14" s="3" t="s">
        <v>21</v>
      </c>
      <c r="C14" s="2">
        <f>COUNTIFS('Integration Test'!$B:$B,$B14)</f>
        <v>104</v>
      </c>
      <c r="D14" s="2">
        <f>COUNTIFS('Integration Test'!$B:$B,$B14,'Integration Test'!$G:$G,"Pass")</f>
        <v>104</v>
      </c>
      <c r="E14" s="2">
        <f>C14-D14</f>
        <v>0</v>
      </c>
      <c r="F14" s="4">
        <f t="shared" si="1"/>
        <v>1</v>
      </c>
      <c r="G14" s="2">
        <f>COUNTIFS('Integration Test'!$B:$B,$B14,'Integration Test'!$H:$H,"Pass")</f>
        <v>104</v>
      </c>
      <c r="H14" s="4">
        <f t="shared" si="2"/>
        <v>1</v>
      </c>
    </row>
    <row r="15" spans="1:8" x14ac:dyDescent="0.3">
      <c r="A15" s="15" t="s">
        <v>22</v>
      </c>
      <c r="B15" s="16"/>
      <c r="C15" s="5">
        <f>SUM(C12:C14)</f>
        <v>340</v>
      </c>
      <c r="D15" s="5">
        <f>SUM(D12:D14)</f>
        <v>336</v>
      </c>
      <c r="E15" s="5">
        <f>SUM(E12:E14)</f>
        <v>4</v>
      </c>
      <c r="F15" s="6">
        <f t="shared" si="1"/>
        <v>0.9882352941176471</v>
      </c>
      <c r="G15" s="5">
        <f>SUM(G12:G14)</f>
        <v>340</v>
      </c>
      <c r="H15" s="6">
        <f t="shared" si="2"/>
        <v>1</v>
      </c>
    </row>
    <row r="16" spans="1:8" x14ac:dyDescent="0.3">
      <c r="A16" s="19" t="s">
        <v>23</v>
      </c>
      <c r="B16" s="3" t="s">
        <v>24</v>
      </c>
      <c r="C16" s="2">
        <f>COUNTIFS('System Test'!$B:$B,$B16)</f>
        <v>63</v>
      </c>
      <c r="D16" s="2">
        <f>COUNTIFS('System Test'!$B:$B,$B16,'System Test'!$G:$G,"Pass")</f>
        <v>58</v>
      </c>
      <c r="E16" s="2">
        <f>C16-D16</f>
        <v>5</v>
      </c>
      <c r="F16" s="4">
        <f t="shared" si="1"/>
        <v>0.92063492063492058</v>
      </c>
      <c r="G16" s="2">
        <f>COUNTIFS('System Test'!$B:$B,$B16,'System Test'!$H:$H,"Pass")</f>
        <v>63</v>
      </c>
      <c r="H16" s="4">
        <f t="shared" si="2"/>
        <v>1</v>
      </c>
    </row>
    <row r="17" spans="1:8" ht="27.6" x14ac:dyDescent="0.3">
      <c r="A17" s="19"/>
      <c r="B17" s="3" t="s">
        <v>25</v>
      </c>
      <c r="C17" s="2">
        <f>COUNTIFS('System Test'!$B:$B,$B17)</f>
        <v>50</v>
      </c>
      <c r="D17" s="2">
        <f>COUNTIFS('System Test'!$B:$B,$B17,'System Test'!$G:$G,"Pass")</f>
        <v>50</v>
      </c>
      <c r="E17" s="2">
        <f>C17-D17</f>
        <v>0</v>
      </c>
      <c r="F17" s="4">
        <f t="shared" si="1"/>
        <v>1</v>
      </c>
      <c r="G17" s="2">
        <f>COUNTIFS('System Test'!$B:$B,$B17,'System Test'!$H:$H,"Pass")</f>
        <v>50</v>
      </c>
      <c r="H17" s="4">
        <f t="shared" si="2"/>
        <v>1</v>
      </c>
    </row>
    <row r="18" spans="1:8" x14ac:dyDescent="0.3">
      <c r="A18" s="19"/>
      <c r="B18" s="3" t="s">
        <v>26</v>
      </c>
      <c r="C18" s="2">
        <f>COUNTIFS('System Test'!$B:$B,$B18)</f>
        <v>14</v>
      </c>
      <c r="D18" s="2">
        <f>COUNTIFS('System Test'!$B:$B,$B18,'System Test'!$G:$G,"Pass")</f>
        <v>14</v>
      </c>
      <c r="E18" s="2">
        <f>C18-D18</f>
        <v>0</v>
      </c>
      <c r="F18" s="4">
        <f t="shared" si="1"/>
        <v>1</v>
      </c>
      <c r="G18" s="2">
        <f>COUNTIFS('System Test'!$B:$B,$B18,'System Test'!$H:$H,"Pass")</f>
        <v>14</v>
      </c>
      <c r="H18" s="4">
        <f t="shared" si="2"/>
        <v>1</v>
      </c>
    </row>
    <row r="19" spans="1:8" ht="27.6" x14ac:dyDescent="0.3">
      <c r="A19" s="19"/>
      <c r="B19" s="3" t="s">
        <v>27</v>
      </c>
      <c r="C19" s="2">
        <f>COUNTIFS('System Test'!$B:$B,$B19)</f>
        <v>23</v>
      </c>
      <c r="D19" s="2">
        <f>COUNTIFS('System Test'!$B:$B,$B19,'System Test'!$G:$G,"Pass")</f>
        <v>23</v>
      </c>
      <c r="E19" s="2">
        <f>C19-D19</f>
        <v>0</v>
      </c>
      <c r="F19" s="4">
        <f t="shared" si="1"/>
        <v>1</v>
      </c>
      <c r="G19" s="2">
        <f>COUNTIFS('System Test'!$B:$B,$B19,'System Test'!$H:$H,"Pass")</f>
        <v>23</v>
      </c>
      <c r="H19" s="4">
        <f t="shared" si="2"/>
        <v>1</v>
      </c>
    </row>
    <row r="20" spans="1:8" x14ac:dyDescent="0.3">
      <c r="A20" s="15" t="s">
        <v>28</v>
      </c>
      <c r="B20" s="16"/>
      <c r="C20" s="5">
        <f>SUM(C16:C19)</f>
        <v>150</v>
      </c>
      <c r="D20" s="5">
        <f>SUM(D16:D19)</f>
        <v>145</v>
      </c>
      <c r="E20" s="5">
        <f>SUM(E16:E19)</f>
        <v>5</v>
      </c>
      <c r="F20" s="6">
        <f t="shared" si="1"/>
        <v>0.96666666666666667</v>
      </c>
      <c r="G20" s="5">
        <f>SUM(G16:G19)</f>
        <v>150</v>
      </c>
      <c r="H20" s="6">
        <f t="shared" si="2"/>
        <v>1</v>
      </c>
    </row>
    <row r="21" spans="1:8" ht="15.6" x14ac:dyDescent="0.3">
      <c r="A21" s="17" t="s">
        <v>29</v>
      </c>
      <c r="B21" s="18"/>
      <c r="C21" s="7">
        <f>C11+C15+C20</f>
        <v>1284</v>
      </c>
      <c r="D21" s="7">
        <f>D11+D15+D20</f>
        <v>1273</v>
      </c>
      <c r="E21" s="7">
        <f>E11+E15+E20</f>
        <v>11</v>
      </c>
      <c r="F21" s="8">
        <f t="shared" si="1"/>
        <v>0.99143302180685355</v>
      </c>
      <c r="G21" s="7">
        <f>G11+G15+G20</f>
        <v>1284</v>
      </c>
      <c r="H21" s="8">
        <f t="shared" si="2"/>
        <v>1</v>
      </c>
    </row>
    <row r="23" spans="1:8" ht="15.6" x14ac:dyDescent="0.3">
      <c r="A23" s="9" t="s">
        <v>30</v>
      </c>
    </row>
    <row r="24" spans="1:8" ht="31.95" customHeight="1" x14ac:dyDescent="0.3">
      <c r="A24" s="1" t="s">
        <v>31</v>
      </c>
      <c r="B24" s="1" t="s">
        <v>32</v>
      </c>
      <c r="C24" s="1" t="s">
        <v>4</v>
      </c>
      <c r="D24" s="1" t="s">
        <v>5</v>
      </c>
      <c r="E24" s="1" t="s">
        <v>6</v>
      </c>
      <c r="F24" s="1" t="s">
        <v>7</v>
      </c>
      <c r="G24" s="1" t="s">
        <v>8</v>
      </c>
      <c r="H24" s="1" t="s">
        <v>9</v>
      </c>
    </row>
    <row r="25" spans="1:8" ht="45" customHeight="1" x14ac:dyDescent="0.3">
      <c r="A25" s="2" t="s">
        <v>33</v>
      </c>
      <c r="B25" s="3" t="s">
        <v>34</v>
      </c>
      <c r="C25" s="2">
        <f>COUNTIFS('Unit Test'!$I:$I,"Đợt 1")+COUNTIFS('Integration Test'!$I:$I,"Đợt 1")+COUNTIFS('System Test'!$I:$I,"Đợt 1")</f>
        <v>179</v>
      </c>
      <c r="D25" s="2">
        <f>COUNTIFS('Unit Test'!$I:$I,"Đợt 1",'Unit Test'!$G:$G,"Pass")+COUNTIFS('Integration Test'!$I:$I,"Đợt 1",'Integration Test'!$G:$G,"Pass")+COUNTIFS('System Test'!$I:$I,"Đợt 1",'System Test'!$G:$G,"Pass")</f>
        <v>173</v>
      </c>
      <c r="E25" s="2">
        <f>C25-D25</f>
        <v>6</v>
      </c>
      <c r="F25" s="4">
        <f>IF(C25=0,0,D25/C25)</f>
        <v>0.96648044692737434</v>
      </c>
      <c r="G25" s="2">
        <f>COUNTIFS('Unit Test'!$I:$I,"Đợt 1",'Unit Test'!$H:$H,"Pass")+COUNTIFS('Integration Test'!$I:$I,"Đợt 1",'Integration Test'!$H:$H,"Pass")+COUNTIFS('System Test'!$I:$I,"Đợt 1",'System Test'!$H:$H,"Pass")</f>
        <v>179</v>
      </c>
      <c r="H25" s="4">
        <f>IF(C25=0,0,G25/C25)</f>
        <v>1</v>
      </c>
    </row>
    <row r="26" spans="1:8" ht="45" customHeight="1" x14ac:dyDescent="0.3">
      <c r="A26" s="2" t="s">
        <v>35</v>
      </c>
      <c r="B26" s="3" t="s">
        <v>36</v>
      </c>
      <c r="C26" s="2">
        <f>COUNTIFS('Unit Test'!$J:$J,"&lt;&gt;Kiểm thử HTTP thật bằng curl",'Unit Test'!$A:$A,"??-*")+COUNTIFS('Integration Test'!$J:$J,"&lt;&gt;Kiểm thử HTTP thật bằng curl",'Integration Test'!$A:$A,"??-*")+COUNTIFS('System Test'!$J:$J,"&lt;&gt;Kiểm thử HTTP thật bằng curl",'System Test'!$A:$A,"??-*")</f>
        <v>1264</v>
      </c>
      <c r="D26" s="2">
        <f>C26-(COUNTIFS('Unit Test'!$I:$I,"Đợt 2",'Unit Test'!$G:$G,"Fail")+COUNTIFS('Integration Test'!$I:$I,"Đợt 2",'Integration Test'!$G:$G,"Fail")+COUNTIFS('System Test'!$I:$I,"Đợt 2",'System Test'!$G:$G,"Fail"))</f>
        <v>1259</v>
      </c>
      <c r="E26" s="2">
        <f>C26-D26</f>
        <v>5</v>
      </c>
      <c r="F26" s="4">
        <f>IF(C26=0,0,D26/C26)</f>
        <v>0.99604430379746833</v>
      </c>
      <c r="G26" s="2">
        <f>COUNTIFS('Unit Test'!$J:$J,"&lt;&gt;Kiểm thử HTTP thật bằng curl",'Unit Test'!$A:$A,"??-*",'Unit Test'!$H:$H,"Pass")+COUNTIFS('Integration Test'!$J:$J,"&lt;&gt;Kiểm thử HTTP thật bằng curl",'Integration Test'!$A:$A,"??-*",'Integration Test'!$H:$H,"Pass")+COUNTIFS('System Test'!$J:$J,"&lt;&gt;Kiểm thử HTTP thật bằng curl",'System Test'!$A:$A,"??-*",'System Test'!$H:$H,"Pass")</f>
        <v>1264</v>
      </c>
      <c r="H26" s="4">
        <f>IF(C26=0,0,G26/C26)</f>
        <v>1</v>
      </c>
    </row>
    <row r="28" spans="1:8" ht="16.05" customHeight="1" x14ac:dyDescent="0.3">
      <c r="A28" s="23" t="s">
        <v>37</v>
      </c>
      <c r="B28" s="21"/>
      <c r="C28" s="21"/>
      <c r="D28" s="21"/>
      <c r="E28" s="21"/>
      <c r="F28" s="21"/>
      <c r="G28" s="21"/>
      <c r="H28" s="21"/>
    </row>
    <row r="29" spans="1:8" ht="30" customHeight="1" x14ac:dyDescent="0.3">
      <c r="A29" s="20" t="s">
        <v>38</v>
      </c>
      <c r="B29" s="21"/>
      <c r="C29" s="21"/>
      <c r="D29" s="21"/>
      <c r="E29" s="21"/>
      <c r="F29" s="21"/>
      <c r="G29" s="21"/>
      <c r="H29" s="21"/>
    </row>
    <row r="30" spans="1:8" ht="16.05" customHeight="1" x14ac:dyDescent="0.3">
      <c r="A30" s="20" t="s">
        <v>39</v>
      </c>
      <c r="B30" s="21"/>
      <c r="C30" s="21"/>
      <c r="D30" s="21"/>
      <c r="E30" s="21"/>
      <c r="F30" s="21"/>
      <c r="G30" s="21"/>
      <c r="H30" s="21"/>
    </row>
    <row r="31" spans="1:8" ht="16.05" customHeight="1" x14ac:dyDescent="0.3">
      <c r="A31" s="20" t="s">
        <v>40</v>
      </c>
      <c r="B31" s="21"/>
      <c r="C31" s="21"/>
      <c r="D31" s="21"/>
      <c r="E31" s="21"/>
      <c r="F31" s="21"/>
      <c r="G31" s="21"/>
      <c r="H31" s="21"/>
    </row>
    <row r="32" spans="1:8" ht="16.05" customHeight="1" x14ac:dyDescent="0.3">
      <c r="A32" s="20" t="s">
        <v>41</v>
      </c>
      <c r="B32" s="21"/>
      <c r="C32" s="21"/>
      <c r="D32" s="21"/>
      <c r="E32" s="21"/>
      <c r="F32" s="21"/>
      <c r="G32" s="21"/>
      <c r="H32" s="21"/>
    </row>
  </sheetData>
  <mergeCells count="14">
    <mergeCell ref="A11:B11"/>
    <mergeCell ref="A2:H2"/>
    <mergeCell ref="A28:H28"/>
    <mergeCell ref="A1:H1"/>
    <mergeCell ref="A32:H32"/>
    <mergeCell ref="A16:A19"/>
    <mergeCell ref="A31:H31"/>
    <mergeCell ref="A5:A10"/>
    <mergeCell ref="A20:B20"/>
    <mergeCell ref="A21:B21"/>
    <mergeCell ref="A12:A14"/>
    <mergeCell ref="A30:H30"/>
    <mergeCell ref="A15:B15"/>
    <mergeCell ref="A29:H29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  <pageSetUpPr fitToPage="1"/>
  </sheetPr>
  <dimension ref="A1:L798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26" customWidth="1"/>
    <col min="3" max="3" width="40" customWidth="1"/>
    <col min="4" max="4" width="42" customWidth="1"/>
    <col min="5" max="5" width="34" customWidth="1"/>
    <col min="6" max="6" width="44" customWidth="1"/>
    <col min="7" max="8" width="11" customWidth="1"/>
    <col min="9" max="9" width="20" customWidth="1"/>
    <col min="10" max="10" width="42" customWidth="1"/>
    <col min="11" max="11" width="18" customWidth="1"/>
    <col min="12" max="12" width="13" customWidth="1"/>
  </cols>
  <sheetData>
    <row r="1" spans="1:12" ht="18.600000000000001" x14ac:dyDescent="0.3">
      <c r="A1" s="24" t="s">
        <v>42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30" customHeight="1" x14ac:dyDescent="0.3">
      <c r="A2" s="22" t="s">
        <v>43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4" spans="1:12" ht="31.95" customHeight="1" x14ac:dyDescent="0.3">
      <c r="A4" s="1" t="s">
        <v>44</v>
      </c>
      <c r="B4" s="1" t="s">
        <v>3</v>
      </c>
      <c r="C4" s="1" t="s">
        <v>45</v>
      </c>
      <c r="D4" s="1" t="s">
        <v>46</v>
      </c>
      <c r="E4" s="1" t="s">
        <v>47</v>
      </c>
      <c r="F4" s="1" t="s">
        <v>48</v>
      </c>
      <c r="G4" s="1" t="s">
        <v>49</v>
      </c>
      <c r="H4" s="1" t="s">
        <v>50</v>
      </c>
      <c r="I4" s="1" t="s">
        <v>31</v>
      </c>
      <c r="J4" s="1" t="s">
        <v>51</v>
      </c>
      <c r="K4" s="1" t="s">
        <v>52</v>
      </c>
      <c r="L4" s="1" t="s">
        <v>53</v>
      </c>
    </row>
    <row r="5" spans="1:12" ht="26.4" x14ac:dyDescent="0.3">
      <c r="A5" s="10" t="s">
        <v>54</v>
      </c>
      <c r="B5" s="11" t="s">
        <v>11</v>
      </c>
      <c r="C5" s="11" t="s">
        <v>55</v>
      </c>
      <c r="D5" s="11" t="s">
        <v>56</v>
      </c>
      <c r="E5" s="11" t="s">
        <v>57</v>
      </c>
      <c r="F5" s="11" t="s">
        <v>58</v>
      </c>
      <c r="G5" s="12" t="s">
        <v>59</v>
      </c>
      <c r="H5" s="12" t="s">
        <v>59</v>
      </c>
      <c r="I5" s="12" t="s">
        <v>60</v>
      </c>
      <c r="J5" s="11" t="s">
        <v>61</v>
      </c>
      <c r="K5" s="12" t="s">
        <v>62</v>
      </c>
      <c r="L5" s="12" t="s">
        <v>63</v>
      </c>
    </row>
    <row r="6" spans="1:12" ht="26.4" x14ac:dyDescent="0.3">
      <c r="A6" s="10" t="s">
        <v>64</v>
      </c>
      <c r="B6" s="11" t="s">
        <v>11</v>
      </c>
      <c r="C6" s="11" t="s">
        <v>65</v>
      </c>
      <c r="D6" s="11" t="s">
        <v>66</v>
      </c>
      <c r="E6" s="11" t="s">
        <v>67</v>
      </c>
      <c r="F6" s="11" t="s">
        <v>68</v>
      </c>
      <c r="G6" s="12" t="s">
        <v>59</v>
      </c>
      <c r="H6" s="12" t="s">
        <v>59</v>
      </c>
      <c r="I6" s="12" t="s">
        <v>60</v>
      </c>
      <c r="J6" s="11" t="s">
        <v>69</v>
      </c>
      <c r="K6" s="12" t="s">
        <v>62</v>
      </c>
      <c r="L6" s="12" t="s">
        <v>63</v>
      </c>
    </row>
    <row r="7" spans="1:12" ht="26.4" x14ac:dyDescent="0.3">
      <c r="A7" s="10" t="s">
        <v>70</v>
      </c>
      <c r="B7" s="11" t="s">
        <v>11</v>
      </c>
      <c r="C7" s="11" t="s">
        <v>71</v>
      </c>
      <c r="D7" s="11" t="s">
        <v>72</v>
      </c>
      <c r="E7" s="11" t="s">
        <v>73</v>
      </c>
      <c r="F7" s="11" t="s">
        <v>74</v>
      </c>
      <c r="G7" s="12" t="s">
        <v>59</v>
      </c>
      <c r="H7" s="12" t="s">
        <v>59</v>
      </c>
      <c r="I7" s="12" t="s">
        <v>60</v>
      </c>
      <c r="J7" s="11" t="s">
        <v>75</v>
      </c>
      <c r="K7" s="12" t="s">
        <v>62</v>
      </c>
      <c r="L7" s="12" t="s">
        <v>63</v>
      </c>
    </row>
    <row r="8" spans="1:12" ht="26.4" x14ac:dyDescent="0.3">
      <c r="A8" s="10" t="s">
        <v>76</v>
      </c>
      <c r="B8" s="11" t="s">
        <v>11</v>
      </c>
      <c r="C8" s="11" t="s">
        <v>77</v>
      </c>
      <c r="D8" s="11" t="s">
        <v>78</v>
      </c>
      <c r="E8" s="11" t="s">
        <v>79</v>
      </c>
      <c r="F8" s="11" t="s">
        <v>80</v>
      </c>
      <c r="G8" s="12" t="s">
        <v>59</v>
      </c>
      <c r="H8" s="12" t="s">
        <v>59</v>
      </c>
      <c r="I8" s="12" t="s">
        <v>60</v>
      </c>
      <c r="J8" s="11" t="s">
        <v>81</v>
      </c>
      <c r="K8" s="12" t="s">
        <v>62</v>
      </c>
      <c r="L8" s="12" t="s">
        <v>63</v>
      </c>
    </row>
    <row r="9" spans="1:12" ht="26.4" x14ac:dyDescent="0.3">
      <c r="A9" s="10" t="s">
        <v>82</v>
      </c>
      <c r="B9" s="11" t="s">
        <v>11</v>
      </c>
      <c r="C9" s="11" t="s">
        <v>83</v>
      </c>
      <c r="D9" s="11" t="s">
        <v>84</v>
      </c>
      <c r="E9" s="11" t="s">
        <v>85</v>
      </c>
      <c r="F9" s="11" t="s">
        <v>86</v>
      </c>
      <c r="G9" s="12" t="s">
        <v>59</v>
      </c>
      <c r="H9" s="12" t="s">
        <v>59</v>
      </c>
      <c r="I9" s="12" t="s">
        <v>60</v>
      </c>
      <c r="J9" s="11" t="s">
        <v>87</v>
      </c>
      <c r="K9" s="12" t="s">
        <v>62</v>
      </c>
      <c r="L9" s="12" t="s">
        <v>63</v>
      </c>
    </row>
    <row r="10" spans="1:12" ht="26.4" x14ac:dyDescent="0.3">
      <c r="A10" s="10" t="s">
        <v>88</v>
      </c>
      <c r="B10" s="11" t="s">
        <v>11</v>
      </c>
      <c r="C10" s="11" t="s">
        <v>89</v>
      </c>
      <c r="D10" s="11" t="s">
        <v>90</v>
      </c>
      <c r="E10" s="11" t="s">
        <v>91</v>
      </c>
      <c r="F10" s="11" t="s">
        <v>92</v>
      </c>
      <c r="G10" s="12" t="s">
        <v>59</v>
      </c>
      <c r="H10" s="12" t="s">
        <v>59</v>
      </c>
      <c r="I10" s="12" t="s">
        <v>60</v>
      </c>
      <c r="J10" s="11" t="s">
        <v>93</v>
      </c>
      <c r="K10" s="12" t="s">
        <v>62</v>
      </c>
      <c r="L10" s="12" t="s">
        <v>63</v>
      </c>
    </row>
    <row r="11" spans="1:12" ht="26.4" x14ac:dyDescent="0.3">
      <c r="A11" s="10" t="s">
        <v>94</v>
      </c>
      <c r="B11" s="11" t="s">
        <v>11</v>
      </c>
      <c r="C11" s="11" t="s">
        <v>95</v>
      </c>
      <c r="D11" s="11" t="s">
        <v>96</v>
      </c>
      <c r="E11" s="11" t="s">
        <v>97</v>
      </c>
      <c r="F11" s="11" t="s">
        <v>98</v>
      </c>
      <c r="G11" s="12" t="s">
        <v>59</v>
      </c>
      <c r="H11" s="12" t="s">
        <v>59</v>
      </c>
      <c r="I11" s="12" t="s">
        <v>60</v>
      </c>
      <c r="J11" s="11" t="s">
        <v>99</v>
      </c>
      <c r="K11" s="12" t="s">
        <v>62</v>
      </c>
      <c r="L11" s="12" t="s">
        <v>63</v>
      </c>
    </row>
    <row r="12" spans="1:12" ht="26.4" x14ac:dyDescent="0.3">
      <c r="A12" s="10" t="s">
        <v>100</v>
      </c>
      <c r="B12" s="11" t="s">
        <v>11</v>
      </c>
      <c r="C12" s="11" t="s">
        <v>101</v>
      </c>
      <c r="D12" s="11" t="s">
        <v>102</v>
      </c>
      <c r="E12" s="11" t="s">
        <v>103</v>
      </c>
      <c r="F12" s="11" t="s">
        <v>104</v>
      </c>
      <c r="G12" s="12" t="s">
        <v>59</v>
      </c>
      <c r="H12" s="12" t="s">
        <v>59</v>
      </c>
      <c r="I12" s="12" t="s">
        <v>60</v>
      </c>
      <c r="J12" s="11" t="s">
        <v>105</v>
      </c>
      <c r="K12" s="12" t="s">
        <v>62</v>
      </c>
      <c r="L12" s="12" t="s">
        <v>63</v>
      </c>
    </row>
    <row r="13" spans="1:12" ht="26.4" x14ac:dyDescent="0.3">
      <c r="A13" s="10" t="s">
        <v>106</v>
      </c>
      <c r="B13" s="11" t="s">
        <v>11</v>
      </c>
      <c r="C13" s="11" t="s">
        <v>107</v>
      </c>
      <c r="D13" s="11" t="s">
        <v>108</v>
      </c>
      <c r="E13" s="11" t="s">
        <v>109</v>
      </c>
      <c r="F13" s="11" t="s">
        <v>110</v>
      </c>
      <c r="G13" s="12" t="s">
        <v>59</v>
      </c>
      <c r="H13" s="12" t="s">
        <v>59</v>
      </c>
      <c r="I13" s="12" t="s">
        <v>60</v>
      </c>
      <c r="J13" s="11" t="s">
        <v>111</v>
      </c>
      <c r="K13" s="12" t="s">
        <v>62</v>
      </c>
      <c r="L13" s="12" t="s">
        <v>63</v>
      </c>
    </row>
    <row r="14" spans="1:12" ht="26.4" x14ac:dyDescent="0.3">
      <c r="A14" s="10" t="s">
        <v>112</v>
      </c>
      <c r="B14" s="11" t="s">
        <v>11</v>
      </c>
      <c r="C14" s="11" t="s">
        <v>113</v>
      </c>
      <c r="D14" s="11" t="s">
        <v>114</v>
      </c>
      <c r="E14" s="11" t="s">
        <v>115</v>
      </c>
      <c r="F14" s="11" t="s">
        <v>116</v>
      </c>
      <c r="G14" s="12" t="s">
        <v>59</v>
      </c>
      <c r="H14" s="12" t="s">
        <v>59</v>
      </c>
      <c r="I14" s="12" t="s">
        <v>60</v>
      </c>
      <c r="J14" s="11" t="s">
        <v>117</v>
      </c>
      <c r="K14" s="12" t="s">
        <v>62</v>
      </c>
      <c r="L14" s="12" t="s">
        <v>63</v>
      </c>
    </row>
    <row r="15" spans="1:12" ht="26.4" x14ac:dyDescent="0.3">
      <c r="A15" s="10" t="s">
        <v>118</v>
      </c>
      <c r="B15" s="11" t="s">
        <v>11</v>
      </c>
      <c r="C15" s="11" t="s">
        <v>119</v>
      </c>
      <c r="D15" s="11" t="s">
        <v>120</v>
      </c>
      <c r="E15" s="11" t="s">
        <v>121</v>
      </c>
      <c r="F15" s="11" t="s">
        <v>122</v>
      </c>
      <c r="G15" s="12" t="s">
        <v>59</v>
      </c>
      <c r="H15" s="12" t="s">
        <v>59</v>
      </c>
      <c r="I15" s="12" t="s">
        <v>60</v>
      </c>
      <c r="J15" s="11" t="s">
        <v>123</v>
      </c>
      <c r="K15" s="12" t="s">
        <v>62</v>
      </c>
      <c r="L15" s="12" t="s">
        <v>63</v>
      </c>
    </row>
    <row r="16" spans="1:12" ht="26.4" x14ac:dyDescent="0.3">
      <c r="A16" s="10" t="s">
        <v>124</v>
      </c>
      <c r="B16" s="11" t="s">
        <v>11</v>
      </c>
      <c r="C16" s="11" t="s">
        <v>125</v>
      </c>
      <c r="D16" s="11" t="s">
        <v>126</v>
      </c>
      <c r="E16" s="11" t="s">
        <v>127</v>
      </c>
      <c r="F16" s="11" t="s">
        <v>128</v>
      </c>
      <c r="G16" s="12" t="s">
        <v>59</v>
      </c>
      <c r="H16" s="12" t="s">
        <v>59</v>
      </c>
      <c r="I16" s="12" t="s">
        <v>60</v>
      </c>
      <c r="J16" s="11" t="s">
        <v>129</v>
      </c>
      <c r="K16" s="12" t="s">
        <v>62</v>
      </c>
      <c r="L16" s="12" t="s">
        <v>63</v>
      </c>
    </row>
    <row r="17" spans="1:12" ht="26.4" x14ac:dyDescent="0.3">
      <c r="A17" s="10" t="s">
        <v>130</v>
      </c>
      <c r="B17" s="11" t="s">
        <v>11</v>
      </c>
      <c r="C17" s="11" t="s">
        <v>131</v>
      </c>
      <c r="D17" s="11" t="s">
        <v>132</v>
      </c>
      <c r="E17" s="11" t="s">
        <v>133</v>
      </c>
      <c r="F17" s="11" t="s">
        <v>134</v>
      </c>
      <c r="G17" s="12" t="s">
        <v>59</v>
      </c>
      <c r="H17" s="12" t="s">
        <v>59</v>
      </c>
      <c r="I17" s="12" t="s">
        <v>60</v>
      </c>
      <c r="J17" s="11" t="s">
        <v>135</v>
      </c>
      <c r="K17" s="12" t="s">
        <v>62</v>
      </c>
      <c r="L17" s="12" t="s">
        <v>63</v>
      </c>
    </row>
    <row r="18" spans="1:12" ht="39.6" x14ac:dyDescent="0.3">
      <c r="A18" s="10" t="s">
        <v>136</v>
      </c>
      <c r="B18" s="11" t="s">
        <v>11</v>
      </c>
      <c r="C18" s="11" t="s">
        <v>137</v>
      </c>
      <c r="D18" s="11" t="s">
        <v>138</v>
      </c>
      <c r="E18" s="11" t="s">
        <v>139</v>
      </c>
      <c r="F18" s="11" t="s">
        <v>140</v>
      </c>
      <c r="G18" s="12" t="s">
        <v>59</v>
      </c>
      <c r="H18" s="12" t="s">
        <v>59</v>
      </c>
      <c r="I18" s="12" t="s">
        <v>60</v>
      </c>
      <c r="J18" s="11" t="s">
        <v>141</v>
      </c>
      <c r="K18" s="12" t="s">
        <v>62</v>
      </c>
      <c r="L18" s="12" t="s">
        <v>63</v>
      </c>
    </row>
    <row r="19" spans="1:12" ht="26.4" x14ac:dyDescent="0.3">
      <c r="A19" s="10" t="s">
        <v>142</v>
      </c>
      <c r="B19" s="11" t="s">
        <v>11</v>
      </c>
      <c r="C19" s="11" t="s">
        <v>143</v>
      </c>
      <c r="D19" s="11" t="s">
        <v>144</v>
      </c>
      <c r="E19" s="11" t="s">
        <v>145</v>
      </c>
      <c r="F19" s="11" t="s">
        <v>146</v>
      </c>
      <c r="G19" s="12" t="s">
        <v>59</v>
      </c>
      <c r="H19" s="12" t="s">
        <v>59</v>
      </c>
      <c r="I19" s="12" t="s">
        <v>60</v>
      </c>
      <c r="J19" s="11" t="s">
        <v>147</v>
      </c>
      <c r="K19" s="12" t="s">
        <v>62</v>
      </c>
      <c r="L19" s="12" t="s">
        <v>63</v>
      </c>
    </row>
    <row r="20" spans="1:12" ht="26.4" x14ac:dyDescent="0.3">
      <c r="A20" s="10" t="s">
        <v>148</v>
      </c>
      <c r="B20" s="11" t="s">
        <v>11</v>
      </c>
      <c r="C20" s="11" t="s">
        <v>149</v>
      </c>
      <c r="D20" s="11" t="s">
        <v>150</v>
      </c>
      <c r="E20" s="11" t="s">
        <v>151</v>
      </c>
      <c r="F20" s="11" t="s">
        <v>152</v>
      </c>
      <c r="G20" s="12" t="s">
        <v>59</v>
      </c>
      <c r="H20" s="12" t="s">
        <v>59</v>
      </c>
      <c r="I20" s="12" t="s">
        <v>60</v>
      </c>
      <c r="J20" s="11" t="s">
        <v>153</v>
      </c>
      <c r="K20" s="12" t="s">
        <v>62</v>
      </c>
      <c r="L20" s="12" t="s">
        <v>63</v>
      </c>
    </row>
    <row r="21" spans="1:12" ht="26.4" x14ac:dyDescent="0.3">
      <c r="A21" s="10" t="s">
        <v>154</v>
      </c>
      <c r="B21" s="11" t="s">
        <v>11</v>
      </c>
      <c r="C21" s="11" t="s">
        <v>155</v>
      </c>
      <c r="D21" s="11" t="s">
        <v>156</v>
      </c>
      <c r="E21" s="11" t="s">
        <v>127</v>
      </c>
      <c r="F21" s="11" t="s">
        <v>157</v>
      </c>
      <c r="G21" s="12" t="s">
        <v>59</v>
      </c>
      <c r="H21" s="12" t="s">
        <v>59</v>
      </c>
      <c r="I21" s="12" t="s">
        <v>60</v>
      </c>
      <c r="J21" s="11" t="s">
        <v>158</v>
      </c>
      <c r="K21" s="12" t="s">
        <v>62</v>
      </c>
      <c r="L21" s="12" t="s">
        <v>63</v>
      </c>
    </row>
    <row r="22" spans="1:12" ht="26.4" x14ac:dyDescent="0.3">
      <c r="A22" s="10" t="s">
        <v>159</v>
      </c>
      <c r="B22" s="11" t="s">
        <v>11</v>
      </c>
      <c r="C22" s="11" t="s">
        <v>160</v>
      </c>
      <c r="D22" s="11" t="s">
        <v>161</v>
      </c>
      <c r="E22" s="11" t="s">
        <v>162</v>
      </c>
      <c r="F22" s="11" t="s">
        <v>157</v>
      </c>
      <c r="G22" s="12" t="s">
        <v>59</v>
      </c>
      <c r="H22" s="12" t="s">
        <v>59</v>
      </c>
      <c r="I22" s="12" t="s">
        <v>60</v>
      </c>
      <c r="J22" s="11" t="s">
        <v>163</v>
      </c>
      <c r="K22" s="12" t="s">
        <v>62</v>
      </c>
      <c r="L22" s="12" t="s">
        <v>63</v>
      </c>
    </row>
    <row r="23" spans="1:12" ht="39.6" x14ac:dyDescent="0.3">
      <c r="A23" s="10" t="s">
        <v>164</v>
      </c>
      <c r="B23" s="11" t="s">
        <v>11</v>
      </c>
      <c r="C23" s="11" t="s">
        <v>165</v>
      </c>
      <c r="D23" s="11" t="s">
        <v>166</v>
      </c>
      <c r="E23" s="11" t="s">
        <v>121</v>
      </c>
      <c r="F23" s="11" t="s">
        <v>167</v>
      </c>
      <c r="G23" s="12" t="s">
        <v>59</v>
      </c>
      <c r="H23" s="12" t="s">
        <v>59</v>
      </c>
      <c r="I23" s="12" t="s">
        <v>60</v>
      </c>
      <c r="J23" s="11" t="s">
        <v>168</v>
      </c>
      <c r="K23" s="12" t="s">
        <v>62</v>
      </c>
      <c r="L23" s="12" t="s">
        <v>63</v>
      </c>
    </row>
    <row r="24" spans="1:12" ht="26.4" x14ac:dyDescent="0.3">
      <c r="A24" s="10" t="s">
        <v>169</v>
      </c>
      <c r="B24" s="11" t="s">
        <v>11</v>
      </c>
      <c r="C24" s="11" t="s">
        <v>170</v>
      </c>
      <c r="D24" s="11" t="s">
        <v>166</v>
      </c>
      <c r="E24" s="11" t="s">
        <v>121</v>
      </c>
      <c r="F24" s="11" t="s">
        <v>171</v>
      </c>
      <c r="G24" s="12" t="s">
        <v>59</v>
      </c>
      <c r="H24" s="12" t="s">
        <v>59</v>
      </c>
      <c r="I24" s="12" t="s">
        <v>60</v>
      </c>
      <c r="J24" s="11" t="s">
        <v>172</v>
      </c>
      <c r="K24" s="12" t="s">
        <v>62</v>
      </c>
      <c r="L24" s="12" t="s">
        <v>63</v>
      </c>
    </row>
    <row r="25" spans="1:12" ht="39.6" x14ac:dyDescent="0.3">
      <c r="A25" s="10" t="s">
        <v>173</v>
      </c>
      <c r="B25" s="11" t="s">
        <v>11</v>
      </c>
      <c r="C25" s="11" t="s">
        <v>174</v>
      </c>
      <c r="D25" s="11" t="s">
        <v>175</v>
      </c>
      <c r="E25" s="11" t="s">
        <v>127</v>
      </c>
      <c r="F25" s="11" t="s">
        <v>176</v>
      </c>
      <c r="G25" s="12" t="s">
        <v>59</v>
      </c>
      <c r="H25" s="12" t="s">
        <v>59</v>
      </c>
      <c r="I25" s="12" t="s">
        <v>60</v>
      </c>
      <c r="J25" s="11" t="s">
        <v>177</v>
      </c>
      <c r="K25" s="12" t="s">
        <v>62</v>
      </c>
      <c r="L25" s="12" t="s">
        <v>63</v>
      </c>
    </row>
    <row r="26" spans="1:12" ht="39.6" x14ac:dyDescent="0.3">
      <c r="A26" s="10" t="s">
        <v>178</v>
      </c>
      <c r="B26" s="11" t="s">
        <v>11</v>
      </c>
      <c r="C26" s="11" t="s">
        <v>179</v>
      </c>
      <c r="D26" s="11" t="s">
        <v>161</v>
      </c>
      <c r="E26" s="11" t="s">
        <v>162</v>
      </c>
      <c r="F26" s="11" t="s">
        <v>176</v>
      </c>
      <c r="G26" s="12" t="s">
        <v>59</v>
      </c>
      <c r="H26" s="12" t="s">
        <v>59</v>
      </c>
      <c r="I26" s="12" t="s">
        <v>60</v>
      </c>
      <c r="J26" s="11" t="s">
        <v>180</v>
      </c>
      <c r="K26" s="12" t="s">
        <v>62</v>
      </c>
      <c r="L26" s="12" t="s">
        <v>63</v>
      </c>
    </row>
    <row r="27" spans="1:12" ht="26.4" x14ac:dyDescent="0.3">
      <c r="A27" s="10" t="s">
        <v>181</v>
      </c>
      <c r="B27" s="11" t="s">
        <v>11</v>
      </c>
      <c r="C27" s="11" t="s">
        <v>182</v>
      </c>
      <c r="D27" s="11" t="s">
        <v>183</v>
      </c>
      <c r="E27" s="11" t="s">
        <v>184</v>
      </c>
      <c r="F27" s="11" t="s">
        <v>185</v>
      </c>
      <c r="G27" s="12" t="s">
        <v>59</v>
      </c>
      <c r="H27" s="12" t="s">
        <v>59</v>
      </c>
      <c r="I27" s="12" t="s">
        <v>60</v>
      </c>
      <c r="J27" s="11" t="s">
        <v>186</v>
      </c>
      <c r="K27" s="12" t="s">
        <v>62</v>
      </c>
      <c r="L27" s="12" t="s">
        <v>63</v>
      </c>
    </row>
    <row r="28" spans="1:12" ht="26.4" x14ac:dyDescent="0.3">
      <c r="A28" s="10" t="s">
        <v>187</v>
      </c>
      <c r="B28" s="11" t="s">
        <v>11</v>
      </c>
      <c r="C28" s="11" t="s">
        <v>188</v>
      </c>
      <c r="D28" s="11" t="s">
        <v>189</v>
      </c>
      <c r="E28" s="11" t="s">
        <v>190</v>
      </c>
      <c r="F28" s="11" t="s">
        <v>191</v>
      </c>
      <c r="G28" s="12" t="s">
        <v>59</v>
      </c>
      <c r="H28" s="12" t="s">
        <v>59</v>
      </c>
      <c r="I28" s="12" t="s">
        <v>60</v>
      </c>
      <c r="J28" s="11" t="s">
        <v>192</v>
      </c>
      <c r="K28" s="12" t="s">
        <v>62</v>
      </c>
      <c r="L28" s="12" t="s">
        <v>63</v>
      </c>
    </row>
    <row r="29" spans="1:12" ht="26.4" x14ac:dyDescent="0.3">
      <c r="A29" s="10" t="s">
        <v>193</v>
      </c>
      <c r="B29" s="11" t="s">
        <v>11</v>
      </c>
      <c r="C29" s="11" t="s">
        <v>194</v>
      </c>
      <c r="D29" s="11" t="s">
        <v>195</v>
      </c>
      <c r="E29" s="11" t="s">
        <v>196</v>
      </c>
      <c r="F29" s="11" t="s">
        <v>197</v>
      </c>
      <c r="G29" s="12" t="s">
        <v>59</v>
      </c>
      <c r="H29" s="12" t="s">
        <v>59</v>
      </c>
      <c r="I29" s="12" t="s">
        <v>60</v>
      </c>
      <c r="J29" s="11" t="s">
        <v>198</v>
      </c>
      <c r="K29" s="12" t="s">
        <v>62</v>
      </c>
      <c r="L29" s="12" t="s">
        <v>63</v>
      </c>
    </row>
    <row r="30" spans="1:12" ht="26.4" x14ac:dyDescent="0.3">
      <c r="A30" s="10" t="s">
        <v>199</v>
      </c>
      <c r="B30" s="11" t="s">
        <v>12</v>
      </c>
      <c r="C30" s="11" t="s">
        <v>200</v>
      </c>
      <c r="D30" s="11" t="s">
        <v>201</v>
      </c>
      <c r="E30" s="11" t="s">
        <v>202</v>
      </c>
      <c r="F30" s="11" t="s">
        <v>203</v>
      </c>
      <c r="G30" s="12" t="s">
        <v>59</v>
      </c>
      <c r="H30" s="12" t="s">
        <v>59</v>
      </c>
      <c r="I30" s="12" t="s">
        <v>60</v>
      </c>
      <c r="J30" s="11" t="s">
        <v>204</v>
      </c>
      <c r="K30" s="12" t="s">
        <v>62</v>
      </c>
      <c r="L30" s="12" t="s">
        <v>63</v>
      </c>
    </row>
    <row r="31" spans="1:12" ht="26.4" x14ac:dyDescent="0.3">
      <c r="A31" s="10" t="s">
        <v>205</v>
      </c>
      <c r="B31" s="11" t="s">
        <v>12</v>
      </c>
      <c r="C31" s="11" t="s">
        <v>206</v>
      </c>
      <c r="D31" s="11" t="s">
        <v>207</v>
      </c>
      <c r="E31" s="11" t="s">
        <v>208</v>
      </c>
      <c r="F31" s="11" t="s">
        <v>209</v>
      </c>
      <c r="G31" s="12" t="s">
        <v>59</v>
      </c>
      <c r="H31" s="12" t="s">
        <v>59</v>
      </c>
      <c r="I31" s="12" t="s">
        <v>60</v>
      </c>
      <c r="J31" s="11" t="s">
        <v>210</v>
      </c>
      <c r="K31" s="12" t="s">
        <v>62</v>
      </c>
      <c r="L31" s="12" t="s">
        <v>63</v>
      </c>
    </row>
    <row r="32" spans="1:12" ht="26.4" x14ac:dyDescent="0.3">
      <c r="A32" s="10" t="s">
        <v>211</v>
      </c>
      <c r="B32" s="11" t="s">
        <v>12</v>
      </c>
      <c r="C32" s="11" t="s">
        <v>212</v>
      </c>
      <c r="D32" s="11" t="s">
        <v>213</v>
      </c>
      <c r="E32" s="11" t="s">
        <v>214</v>
      </c>
      <c r="F32" s="11" t="s">
        <v>215</v>
      </c>
      <c r="G32" s="12" t="s">
        <v>59</v>
      </c>
      <c r="H32" s="12" t="s">
        <v>59</v>
      </c>
      <c r="I32" s="12" t="s">
        <v>60</v>
      </c>
      <c r="J32" s="11" t="s">
        <v>216</v>
      </c>
      <c r="K32" s="12" t="s">
        <v>62</v>
      </c>
      <c r="L32" s="12" t="s">
        <v>63</v>
      </c>
    </row>
    <row r="33" spans="1:12" ht="26.4" x14ac:dyDescent="0.3">
      <c r="A33" s="10" t="s">
        <v>217</v>
      </c>
      <c r="B33" s="11" t="s">
        <v>12</v>
      </c>
      <c r="C33" s="11" t="s">
        <v>218</v>
      </c>
      <c r="D33" s="11" t="s">
        <v>219</v>
      </c>
      <c r="E33" s="11" t="s">
        <v>220</v>
      </c>
      <c r="F33" s="11" t="s">
        <v>221</v>
      </c>
      <c r="G33" s="12" t="s">
        <v>59</v>
      </c>
      <c r="H33" s="12" t="s">
        <v>59</v>
      </c>
      <c r="I33" s="12" t="s">
        <v>60</v>
      </c>
      <c r="J33" s="11" t="s">
        <v>222</v>
      </c>
      <c r="K33" s="12" t="s">
        <v>62</v>
      </c>
      <c r="L33" s="12" t="s">
        <v>63</v>
      </c>
    </row>
    <row r="34" spans="1:12" ht="26.4" x14ac:dyDescent="0.3">
      <c r="A34" s="10" t="s">
        <v>223</v>
      </c>
      <c r="B34" s="11" t="s">
        <v>12</v>
      </c>
      <c r="C34" s="11" t="s">
        <v>224</v>
      </c>
      <c r="D34" s="11" t="s">
        <v>225</v>
      </c>
      <c r="E34" s="11" t="s">
        <v>226</v>
      </c>
      <c r="F34" s="11" t="s">
        <v>227</v>
      </c>
      <c r="G34" s="12" t="s">
        <v>59</v>
      </c>
      <c r="H34" s="12" t="s">
        <v>59</v>
      </c>
      <c r="I34" s="12" t="s">
        <v>60</v>
      </c>
      <c r="J34" s="11" t="s">
        <v>228</v>
      </c>
      <c r="K34" s="12" t="s">
        <v>62</v>
      </c>
      <c r="L34" s="12" t="s">
        <v>63</v>
      </c>
    </row>
    <row r="35" spans="1:12" ht="26.4" x14ac:dyDescent="0.3">
      <c r="A35" s="10" t="s">
        <v>229</v>
      </c>
      <c r="B35" s="11" t="s">
        <v>12</v>
      </c>
      <c r="C35" s="11" t="s">
        <v>230</v>
      </c>
      <c r="D35" s="11" t="s">
        <v>231</v>
      </c>
      <c r="E35" s="11" t="s">
        <v>232</v>
      </c>
      <c r="F35" s="11" t="s">
        <v>233</v>
      </c>
      <c r="G35" s="12" t="s">
        <v>59</v>
      </c>
      <c r="H35" s="12" t="s">
        <v>59</v>
      </c>
      <c r="I35" s="12" t="s">
        <v>60</v>
      </c>
      <c r="J35" s="11" t="s">
        <v>234</v>
      </c>
      <c r="K35" s="12" t="s">
        <v>62</v>
      </c>
      <c r="L35" s="12" t="s">
        <v>63</v>
      </c>
    </row>
    <row r="36" spans="1:12" ht="26.4" x14ac:dyDescent="0.3">
      <c r="A36" s="10" t="s">
        <v>235</v>
      </c>
      <c r="B36" s="11" t="s">
        <v>12</v>
      </c>
      <c r="C36" s="11" t="s">
        <v>236</v>
      </c>
      <c r="D36" s="11" t="s">
        <v>237</v>
      </c>
      <c r="E36" s="11" t="s">
        <v>238</v>
      </c>
      <c r="F36" s="11" t="s">
        <v>239</v>
      </c>
      <c r="G36" s="12" t="s">
        <v>59</v>
      </c>
      <c r="H36" s="12" t="s">
        <v>59</v>
      </c>
      <c r="I36" s="12" t="s">
        <v>60</v>
      </c>
      <c r="J36" s="11" t="s">
        <v>240</v>
      </c>
      <c r="K36" s="12" t="s">
        <v>62</v>
      </c>
      <c r="L36" s="12" t="s">
        <v>63</v>
      </c>
    </row>
    <row r="37" spans="1:12" ht="39.6" x14ac:dyDescent="0.3">
      <c r="A37" s="10" t="s">
        <v>241</v>
      </c>
      <c r="B37" s="11" t="s">
        <v>12</v>
      </c>
      <c r="C37" s="11" t="s">
        <v>242</v>
      </c>
      <c r="D37" s="11" t="s">
        <v>243</v>
      </c>
      <c r="E37" s="11" t="s">
        <v>244</v>
      </c>
      <c r="F37" s="11" t="s">
        <v>245</v>
      </c>
      <c r="G37" s="12" t="s">
        <v>59</v>
      </c>
      <c r="H37" s="12" t="s">
        <v>59</v>
      </c>
      <c r="I37" s="12" t="s">
        <v>60</v>
      </c>
      <c r="J37" s="11" t="s">
        <v>246</v>
      </c>
      <c r="K37" s="12" t="s">
        <v>62</v>
      </c>
      <c r="L37" s="12" t="s">
        <v>63</v>
      </c>
    </row>
    <row r="38" spans="1:12" ht="26.4" x14ac:dyDescent="0.3">
      <c r="A38" s="10" t="s">
        <v>247</v>
      </c>
      <c r="B38" s="11" t="s">
        <v>12</v>
      </c>
      <c r="C38" s="11" t="s">
        <v>248</v>
      </c>
      <c r="D38" s="11" t="s">
        <v>249</v>
      </c>
      <c r="E38" s="11" t="s">
        <v>250</v>
      </c>
      <c r="F38" s="11" t="s">
        <v>251</v>
      </c>
      <c r="G38" s="12" t="s">
        <v>59</v>
      </c>
      <c r="H38" s="12" t="s">
        <v>59</v>
      </c>
      <c r="I38" s="12" t="s">
        <v>60</v>
      </c>
      <c r="J38" s="11" t="s">
        <v>252</v>
      </c>
      <c r="K38" s="12" t="s">
        <v>62</v>
      </c>
      <c r="L38" s="12" t="s">
        <v>63</v>
      </c>
    </row>
    <row r="39" spans="1:12" ht="26.4" x14ac:dyDescent="0.3">
      <c r="A39" s="10" t="s">
        <v>253</v>
      </c>
      <c r="B39" s="11" t="s">
        <v>12</v>
      </c>
      <c r="C39" s="11" t="s">
        <v>254</v>
      </c>
      <c r="D39" s="11" t="s">
        <v>255</v>
      </c>
      <c r="E39" s="11" t="s">
        <v>256</v>
      </c>
      <c r="F39" s="11" t="s">
        <v>257</v>
      </c>
      <c r="G39" s="12" t="s">
        <v>59</v>
      </c>
      <c r="H39" s="12" t="s">
        <v>59</v>
      </c>
      <c r="I39" s="12" t="s">
        <v>60</v>
      </c>
      <c r="J39" s="11" t="s">
        <v>258</v>
      </c>
      <c r="K39" s="12" t="s">
        <v>62</v>
      </c>
      <c r="L39" s="12" t="s">
        <v>63</v>
      </c>
    </row>
    <row r="40" spans="1:12" ht="26.4" x14ac:dyDescent="0.3">
      <c r="A40" s="10" t="s">
        <v>259</v>
      </c>
      <c r="B40" s="11" t="s">
        <v>12</v>
      </c>
      <c r="C40" s="11" t="s">
        <v>260</v>
      </c>
      <c r="D40" s="11" t="s">
        <v>261</v>
      </c>
      <c r="E40" s="11" t="s">
        <v>262</v>
      </c>
      <c r="F40" s="11" t="s">
        <v>263</v>
      </c>
      <c r="G40" s="12" t="s">
        <v>59</v>
      </c>
      <c r="H40" s="12" t="s">
        <v>59</v>
      </c>
      <c r="I40" s="12" t="s">
        <v>60</v>
      </c>
      <c r="J40" s="11" t="s">
        <v>264</v>
      </c>
      <c r="K40" s="12" t="s">
        <v>62</v>
      </c>
      <c r="L40" s="12" t="s">
        <v>63</v>
      </c>
    </row>
    <row r="41" spans="1:12" ht="26.4" x14ac:dyDescent="0.3">
      <c r="A41" s="10" t="s">
        <v>265</v>
      </c>
      <c r="B41" s="11" t="s">
        <v>12</v>
      </c>
      <c r="C41" s="11" t="s">
        <v>266</v>
      </c>
      <c r="D41" s="11" t="s">
        <v>267</v>
      </c>
      <c r="E41" s="11" t="s">
        <v>268</v>
      </c>
      <c r="F41" s="11" t="s">
        <v>269</v>
      </c>
      <c r="G41" s="12" t="s">
        <v>59</v>
      </c>
      <c r="H41" s="12" t="s">
        <v>59</v>
      </c>
      <c r="I41" s="12" t="s">
        <v>60</v>
      </c>
      <c r="J41" s="11" t="s">
        <v>270</v>
      </c>
      <c r="K41" s="12" t="s">
        <v>62</v>
      </c>
      <c r="L41" s="12" t="s">
        <v>63</v>
      </c>
    </row>
    <row r="42" spans="1:12" ht="26.4" x14ac:dyDescent="0.3">
      <c r="A42" s="10" t="s">
        <v>271</v>
      </c>
      <c r="B42" s="11" t="s">
        <v>12</v>
      </c>
      <c r="C42" s="11" t="s">
        <v>272</v>
      </c>
      <c r="D42" s="11" t="s">
        <v>273</v>
      </c>
      <c r="E42" s="11" t="s">
        <v>274</v>
      </c>
      <c r="F42" s="11" t="s">
        <v>275</v>
      </c>
      <c r="G42" s="12" t="s">
        <v>59</v>
      </c>
      <c r="H42" s="12" t="s">
        <v>59</v>
      </c>
      <c r="I42" s="12" t="s">
        <v>60</v>
      </c>
      <c r="J42" s="11" t="s">
        <v>276</v>
      </c>
      <c r="K42" s="12" t="s">
        <v>62</v>
      </c>
      <c r="L42" s="12" t="s">
        <v>63</v>
      </c>
    </row>
    <row r="43" spans="1:12" ht="26.4" x14ac:dyDescent="0.3">
      <c r="A43" s="10" t="s">
        <v>277</v>
      </c>
      <c r="B43" s="11" t="s">
        <v>12</v>
      </c>
      <c r="C43" s="11" t="s">
        <v>278</v>
      </c>
      <c r="D43" s="11" t="s">
        <v>279</v>
      </c>
      <c r="E43" s="11" t="s">
        <v>280</v>
      </c>
      <c r="F43" s="11" t="s">
        <v>281</v>
      </c>
      <c r="G43" s="12" t="s">
        <v>59</v>
      </c>
      <c r="H43" s="12" t="s">
        <v>59</v>
      </c>
      <c r="I43" s="12" t="s">
        <v>60</v>
      </c>
      <c r="J43" s="11" t="s">
        <v>282</v>
      </c>
      <c r="K43" s="12" t="s">
        <v>62</v>
      </c>
      <c r="L43" s="12" t="s">
        <v>63</v>
      </c>
    </row>
    <row r="44" spans="1:12" ht="26.4" x14ac:dyDescent="0.3">
      <c r="A44" s="10" t="s">
        <v>283</v>
      </c>
      <c r="B44" s="11" t="s">
        <v>12</v>
      </c>
      <c r="C44" s="11" t="s">
        <v>284</v>
      </c>
      <c r="D44" s="11" t="s">
        <v>285</v>
      </c>
      <c r="E44" s="11" t="s">
        <v>286</v>
      </c>
      <c r="F44" s="11" t="s">
        <v>287</v>
      </c>
      <c r="G44" s="12" t="s">
        <v>59</v>
      </c>
      <c r="H44" s="12" t="s">
        <v>59</v>
      </c>
      <c r="I44" s="12" t="s">
        <v>60</v>
      </c>
      <c r="J44" s="11" t="s">
        <v>288</v>
      </c>
      <c r="K44" s="12" t="s">
        <v>62</v>
      </c>
      <c r="L44" s="12" t="s">
        <v>63</v>
      </c>
    </row>
    <row r="45" spans="1:12" ht="26.4" x14ac:dyDescent="0.3">
      <c r="A45" s="10" t="s">
        <v>289</v>
      </c>
      <c r="B45" s="11" t="s">
        <v>12</v>
      </c>
      <c r="C45" s="11" t="s">
        <v>290</v>
      </c>
      <c r="D45" s="11" t="s">
        <v>291</v>
      </c>
      <c r="E45" s="11" t="s">
        <v>292</v>
      </c>
      <c r="F45" s="11" t="s">
        <v>293</v>
      </c>
      <c r="G45" s="12" t="s">
        <v>59</v>
      </c>
      <c r="H45" s="12" t="s">
        <v>59</v>
      </c>
      <c r="I45" s="12" t="s">
        <v>60</v>
      </c>
      <c r="J45" s="11" t="s">
        <v>294</v>
      </c>
      <c r="K45" s="12" t="s">
        <v>62</v>
      </c>
      <c r="L45" s="12" t="s">
        <v>63</v>
      </c>
    </row>
    <row r="46" spans="1:12" ht="26.4" x14ac:dyDescent="0.3">
      <c r="A46" s="10" t="s">
        <v>295</v>
      </c>
      <c r="B46" s="11" t="s">
        <v>12</v>
      </c>
      <c r="C46" s="11" t="s">
        <v>296</v>
      </c>
      <c r="D46" s="11" t="s">
        <v>297</v>
      </c>
      <c r="E46" s="11" t="s">
        <v>298</v>
      </c>
      <c r="F46" s="11" t="s">
        <v>299</v>
      </c>
      <c r="G46" s="12" t="s">
        <v>59</v>
      </c>
      <c r="H46" s="12" t="s">
        <v>59</v>
      </c>
      <c r="I46" s="12" t="s">
        <v>60</v>
      </c>
      <c r="J46" s="11" t="s">
        <v>300</v>
      </c>
      <c r="K46" s="12" t="s">
        <v>62</v>
      </c>
      <c r="L46" s="12" t="s">
        <v>63</v>
      </c>
    </row>
    <row r="47" spans="1:12" ht="26.4" x14ac:dyDescent="0.3">
      <c r="A47" s="10" t="s">
        <v>301</v>
      </c>
      <c r="B47" s="11" t="s">
        <v>12</v>
      </c>
      <c r="C47" s="11" t="s">
        <v>302</v>
      </c>
      <c r="D47" s="11" t="s">
        <v>303</v>
      </c>
      <c r="E47" s="11" t="s">
        <v>304</v>
      </c>
      <c r="F47" s="11" t="s">
        <v>305</v>
      </c>
      <c r="G47" s="12" t="s">
        <v>59</v>
      </c>
      <c r="H47" s="12" t="s">
        <v>59</v>
      </c>
      <c r="I47" s="12" t="s">
        <v>60</v>
      </c>
      <c r="J47" s="11" t="s">
        <v>306</v>
      </c>
      <c r="K47" s="12" t="s">
        <v>62</v>
      </c>
      <c r="L47" s="12" t="s">
        <v>63</v>
      </c>
    </row>
    <row r="48" spans="1:12" ht="26.4" x14ac:dyDescent="0.3">
      <c r="A48" s="10" t="s">
        <v>307</v>
      </c>
      <c r="B48" s="11" t="s">
        <v>12</v>
      </c>
      <c r="C48" s="11" t="s">
        <v>308</v>
      </c>
      <c r="D48" s="11" t="s">
        <v>309</v>
      </c>
      <c r="E48" s="11" t="s">
        <v>310</v>
      </c>
      <c r="F48" s="11" t="s">
        <v>311</v>
      </c>
      <c r="G48" s="12" t="s">
        <v>59</v>
      </c>
      <c r="H48" s="12" t="s">
        <v>59</v>
      </c>
      <c r="I48" s="12" t="s">
        <v>60</v>
      </c>
      <c r="J48" s="11" t="s">
        <v>312</v>
      </c>
      <c r="K48" s="12" t="s">
        <v>62</v>
      </c>
      <c r="L48" s="12" t="s">
        <v>63</v>
      </c>
    </row>
    <row r="49" spans="1:12" ht="26.4" x14ac:dyDescent="0.3">
      <c r="A49" s="10" t="s">
        <v>313</v>
      </c>
      <c r="B49" s="11" t="s">
        <v>12</v>
      </c>
      <c r="C49" s="11" t="s">
        <v>314</v>
      </c>
      <c r="D49" s="11" t="s">
        <v>315</v>
      </c>
      <c r="E49" s="11" t="s">
        <v>316</v>
      </c>
      <c r="F49" s="11" t="s">
        <v>317</v>
      </c>
      <c r="G49" s="12" t="s">
        <v>59</v>
      </c>
      <c r="H49" s="12" t="s">
        <v>59</v>
      </c>
      <c r="I49" s="12" t="s">
        <v>60</v>
      </c>
      <c r="J49" s="11" t="s">
        <v>318</v>
      </c>
      <c r="K49" s="12" t="s">
        <v>62</v>
      </c>
      <c r="L49" s="12" t="s">
        <v>63</v>
      </c>
    </row>
    <row r="50" spans="1:12" ht="26.4" x14ac:dyDescent="0.3">
      <c r="A50" s="10" t="s">
        <v>319</v>
      </c>
      <c r="B50" s="11" t="s">
        <v>12</v>
      </c>
      <c r="C50" s="11" t="s">
        <v>320</v>
      </c>
      <c r="D50" s="11" t="s">
        <v>321</v>
      </c>
      <c r="E50" s="11" t="s">
        <v>322</v>
      </c>
      <c r="F50" s="11" t="s">
        <v>323</v>
      </c>
      <c r="G50" s="12" t="s">
        <v>59</v>
      </c>
      <c r="H50" s="12" t="s">
        <v>59</v>
      </c>
      <c r="I50" s="12" t="s">
        <v>60</v>
      </c>
      <c r="J50" s="11" t="s">
        <v>324</v>
      </c>
      <c r="K50" s="12" t="s">
        <v>62</v>
      </c>
      <c r="L50" s="12" t="s">
        <v>63</v>
      </c>
    </row>
    <row r="51" spans="1:12" ht="26.4" x14ac:dyDescent="0.3">
      <c r="A51" s="10" t="s">
        <v>325</v>
      </c>
      <c r="B51" s="11" t="s">
        <v>12</v>
      </c>
      <c r="C51" s="11" t="s">
        <v>326</v>
      </c>
      <c r="D51" s="11" t="s">
        <v>327</v>
      </c>
      <c r="E51" s="11" t="s">
        <v>328</v>
      </c>
      <c r="F51" s="11" t="s">
        <v>329</v>
      </c>
      <c r="G51" s="12" t="s">
        <v>59</v>
      </c>
      <c r="H51" s="12" t="s">
        <v>59</v>
      </c>
      <c r="I51" s="12" t="s">
        <v>60</v>
      </c>
      <c r="J51" s="11" t="s">
        <v>330</v>
      </c>
      <c r="K51" s="12" t="s">
        <v>62</v>
      </c>
      <c r="L51" s="12" t="s">
        <v>63</v>
      </c>
    </row>
    <row r="52" spans="1:12" ht="26.4" x14ac:dyDescent="0.3">
      <c r="A52" s="10" t="s">
        <v>331</v>
      </c>
      <c r="B52" s="11" t="s">
        <v>12</v>
      </c>
      <c r="C52" s="11" t="s">
        <v>332</v>
      </c>
      <c r="D52" s="11" t="s">
        <v>333</v>
      </c>
      <c r="E52" s="11" t="s">
        <v>334</v>
      </c>
      <c r="F52" s="11" t="s">
        <v>335</v>
      </c>
      <c r="G52" s="12" t="s">
        <v>59</v>
      </c>
      <c r="H52" s="12" t="s">
        <v>59</v>
      </c>
      <c r="I52" s="12" t="s">
        <v>60</v>
      </c>
      <c r="J52" s="11" t="s">
        <v>336</v>
      </c>
      <c r="K52" s="12" t="s">
        <v>62</v>
      </c>
      <c r="L52" s="12" t="s">
        <v>63</v>
      </c>
    </row>
    <row r="53" spans="1:12" ht="26.4" x14ac:dyDescent="0.3">
      <c r="A53" s="10" t="s">
        <v>337</v>
      </c>
      <c r="B53" s="11" t="s">
        <v>12</v>
      </c>
      <c r="C53" s="11" t="s">
        <v>338</v>
      </c>
      <c r="D53" s="11" t="s">
        <v>339</v>
      </c>
      <c r="E53" s="11" t="s">
        <v>310</v>
      </c>
      <c r="F53" s="11" t="s">
        <v>340</v>
      </c>
      <c r="G53" s="12" t="s">
        <v>59</v>
      </c>
      <c r="H53" s="12" t="s">
        <v>59</v>
      </c>
      <c r="I53" s="12" t="s">
        <v>60</v>
      </c>
      <c r="J53" s="11" t="s">
        <v>341</v>
      </c>
      <c r="K53" s="12" t="s">
        <v>62</v>
      </c>
      <c r="L53" s="12" t="s">
        <v>63</v>
      </c>
    </row>
    <row r="54" spans="1:12" ht="26.4" x14ac:dyDescent="0.3">
      <c r="A54" s="10" t="s">
        <v>342</v>
      </c>
      <c r="B54" s="11" t="s">
        <v>12</v>
      </c>
      <c r="C54" s="11" t="s">
        <v>343</v>
      </c>
      <c r="D54" s="11" t="s">
        <v>344</v>
      </c>
      <c r="E54" s="11" t="s">
        <v>334</v>
      </c>
      <c r="F54" s="11" t="s">
        <v>345</v>
      </c>
      <c r="G54" s="12" t="s">
        <v>59</v>
      </c>
      <c r="H54" s="12" t="s">
        <v>59</v>
      </c>
      <c r="I54" s="12" t="s">
        <v>60</v>
      </c>
      <c r="J54" s="11" t="s">
        <v>346</v>
      </c>
      <c r="K54" s="12" t="s">
        <v>62</v>
      </c>
      <c r="L54" s="12" t="s">
        <v>63</v>
      </c>
    </row>
    <row r="55" spans="1:12" ht="26.4" x14ac:dyDescent="0.3">
      <c r="A55" s="10" t="s">
        <v>347</v>
      </c>
      <c r="B55" s="11" t="s">
        <v>12</v>
      </c>
      <c r="C55" s="11" t="s">
        <v>348</v>
      </c>
      <c r="D55" s="11" t="s">
        <v>349</v>
      </c>
      <c r="E55" s="11" t="s">
        <v>350</v>
      </c>
      <c r="F55" s="11" t="s">
        <v>351</v>
      </c>
      <c r="G55" s="12" t="s">
        <v>59</v>
      </c>
      <c r="H55" s="12" t="s">
        <v>59</v>
      </c>
      <c r="I55" s="12" t="s">
        <v>60</v>
      </c>
      <c r="J55" s="11" t="s">
        <v>352</v>
      </c>
      <c r="K55" s="12" t="s">
        <v>62</v>
      </c>
      <c r="L55" s="12" t="s">
        <v>63</v>
      </c>
    </row>
    <row r="56" spans="1:12" ht="26.4" x14ac:dyDescent="0.3">
      <c r="A56" s="10" t="s">
        <v>353</v>
      </c>
      <c r="B56" s="11" t="s">
        <v>12</v>
      </c>
      <c r="C56" s="11" t="s">
        <v>354</v>
      </c>
      <c r="D56" s="11" t="s">
        <v>355</v>
      </c>
      <c r="E56" s="11" t="s">
        <v>350</v>
      </c>
      <c r="F56" s="11" t="s">
        <v>356</v>
      </c>
      <c r="G56" s="12" t="s">
        <v>59</v>
      </c>
      <c r="H56" s="12" t="s">
        <v>59</v>
      </c>
      <c r="I56" s="12" t="s">
        <v>60</v>
      </c>
      <c r="J56" s="11" t="s">
        <v>357</v>
      </c>
      <c r="K56" s="12" t="s">
        <v>62</v>
      </c>
      <c r="L56" s="12" t="s">
        <v>63</v>
      </c>
    </row>
    <row r="57" spans="1:12" ht="26.4" x14ac:dyDescent="0.3">
      <c r="A57" s="10" t="s">
        <v>358</v>
      </c>
      <c r="B57" s="11" t="s">
        <v>12</v>
      </c>
      <c r="C57" s="11" t="s">
        <v>359</v>
      </c>
      <c r="D57" s="11" t="s">
        <v>360</v>
      </c>
      <c r="E57" s="11" t="s">
        <v>334</v>
      </c>
      <c r="F57" s="11" t="s">
        <v>361</v>
      </c>
      <c r="G57" s="12" t="s">
        <v>59</v>
      </c>
      <c r="H57" s="12" t="s">
        <v>59</v>
      </c>
      <c r="I57" s="12" t="s">
        <v>60</v>
      </c>
      <c r="J57" s="11" t="s">
        <v>362</v>
      </c>
      <c r="K57" s="12" t="s">
        <v>62</v>
      </c>
      <c r="L57" s="12" t="s">
        <v>63</v>
      </c>
    </row>
    <row r="58" spans="1:12" ht="26.4" x14ac:dyDescent="0.3">
      <c r="A58" s="10" t="s">
        <v>363</v>
      </c>
      <c r="B58" s="11" t="s">
        <v>12</v>
      </c>
      <c r="C58" s="11" t="s">
        <v>364</v>
      </c>
      <c r="D58" s="11" t="s">
        <v>365</v>
      </c>
      <c r="E58" s="11" t="s">
        <v>310</v>
      </c>
      <c r="F58" s="11" t="s">
        <v>366</v>
      </c>
      <c r="G58" s="12" t="s">
        <v>59</v>
      </c>
      <c r="H58" s="12" t="s">
        <v>59</v>
      </c>
      <c r="I58" s="12" t="s">
        <v>60</v>
      </c>
      <c r="J58" s="11" t="s">
        <v>367</v>
      </c>
      <c r="K58" s="12" t="s">
        <v>62</v>
      </c>
      <c r="L58" s="12" t="s">
        <v>63</v>
      </c>
    </row>
    <row r="59" spans="1:12" ht="26.4" x14ac:dyDescent="0.3">
      <c r="A59" s="10" t="s">
        <v>368</v>
      </c>
      <c r="B59" s="11" t="s">
        <v>12</v>
      </c>
      <c r="C59" s="11" t="s">
        <v>369</v>
      </c>
      <c r="D59" s="11" t="s">
        <v>370</v>
      </c>
      <c r="E59" s="11" t="s">
        <v>350</v>
      </c>
      <c r="F59" s="11" t="s">
        <v>371</v>
      </c>
      <c r="G59" s="12" t="s">
        <v>59</v>
      </c>
      <c r="H59" s="12" t="s">
        <v>59</v>
      </c>
      <c r="I59" s="12" t="s">
        <v>60</v>
      </c>
      <c r="J59" s="11" t="s">
        <v>372</v>
      </c>
      <c r="K59" s="12" t="s">
        <v>62</v>
      </c>
      <c r="L59" s="12" t="s">
        <v>63</v>
      </c>
    </row>
    <row r="60" spans="1:12" ht="26.4" x14ac:dyDescent="0.3">
      <c r="A60" s="10" t="s">
        <v>373</v>
      </c>
      <c r="B60" s="11" t="s">
        <v>12</v>
      </c>
      <c r="C60" s="11" t="s">
        <v>374</v>
      </c>
      <c r="D60" s="11" t="s">
        <v>375</v>
      </c>
      <c r="E60" s="11" t="s">
        <v>376</v>
      </c>
      <c r="F60" s="11" t="s">
        <v>377</v>
      </c>
      <c r="G60" s="12" t="s">
        <v>59</v>
      </c>
      <c r="H60" s="12" t="s">
        <v>59</v>
      </c>
      <c r="I60" s="12" t="s">
        <v>60</v>
      </c>
      <c r="J60" s="11" t="s">
        <v>378</v>
      </c>
      <c r="K60" s="12" t="s">
        <v>62</v>
      </c>
      <c r="L60" s="12" t="s">
        <v>63</v>
      </c>
    </row>
    <row r="61" spans="1:12" ht="26.4" x14ac:dyDescent="0.3">
      <c r="A61" s="10" t="s">
        <v>379</v>
      </c>
      <c r="B61" s="11" t="s">
        <v>12</v>
      </c>
      <c r="C61" s="11" t="s">
        <v>380</v>
      </c>
      <c r="D61" s="11" t="s">
        <v>381</v>
      </c>
      <c r="E61" s="11" t="s">
        <v>382</v>
      </c>
      <c r="F61" s="11" t="s">
        <v>383</v>
      </c>
      <c r="G61" s="12" t="s">
        <v>59</v>
      </c>
      <c r="H61" s="12" t="s">
        <v>59</v>
      </c>
      <c r="I61" s="12" t="s">
        <v>60</v>
      </c>
      <c r="J61" s="11" t="s">
        <v>384</v>
      </c>
      <c r="K61" s="12" t="s">
        <v>62</v>
      </c>
      <c r="L61" s="12" t="s">
        <v>63</v>
      </c>
    </row>
    <row r="62" spans="1:12" ht="26.4" x14ac:dyDescent="0.3">
      <c r="A62" s="10" t="s">
        <v>385</v>
      </c>
      <c r="B62" s="11" t="s">
        <v>12</v>
      </c>
      <c r="C62" s="11" t="s">
        <v>386</v>
      </c>
      <c r="D62" s="11" t="s">
        <v>387</v>
      </c>
      <c r="E62" s="11" t="s">
        <v>350</v>
      </c>
      <c r="F62" s="11" t="s">
        <v>335</v>
      </c>
      <c r="G62" s="12" t="s">
        <v>59</v>
      </c>
      <c r="H62" s="12" t="s">
        <v>59</v>
      </c>
      <c r="I62" s="12" t="s">
        <v>60</v>
      </c>
      <c r="J62" s="11" t="s">
        <v>388</v>
      </c>
      <c r="K62" s="12" t="s">
        <v>62</v>
      </c>
      <c r="L62" s="12" t="s">
        <v>63</v>
      </c>
    </row>
    <row r="63" spans="1:12" ht="26.4" x14ac:dyDescent="0.3">
      <c r="A63" s="10" t="s">
        <v>389</v>
      </c>
      <c r="B63" s="11" t="s">
        <v>12</v>
      </c>
      <c r="C63" s="11" t="s">
        <v>390</v>
      </c>
      <c r="D63" s="11" t="s">
        <v>391</v>
      </c>
      <c r="E63" s="11" t="s">
        <v>392</v>
      </c>
      <c r="F63" s="11" t="s">
        <v>393</v>
      </c>
      <c r="G63" s="12" t="s">
        <v>59</v>
      </c>
      <c r="H63" s="12" t="s">
        <v>59</v>
      </c>
      <c r="I63" s="12" t="s">
        <v>60</v>
      </c>
      <c r="J63" s="11" t="s">
        <v>394</v>
      </c>
      <c r="K63" s="12" t="s">
        <v>62</v>
      </c>
      <c r="L63" s="12" t="s">
        <v>63</v>
      </c>
    </row>
    <row r="64" spans="1:12" ht="26.4" x14ac:dyDescent="0.3">
      <c r="A64" s="10" t="s">
        <v>395</v>
      </c>
      <c r="B64" s="11" t="s">
        <v>12</v>
      </c>
      <c r="C64" s="11" t="s">
        <v>396</v>
      </c>
      <c r="D64" s="11" t="s">
        <v>397</v>
      </c>
      <c r="E64" s="11" t="s">
        <v>334</v>
      </c>
      <c r="F64" s="11" t="s">
        <v>398</v>
      </c>
      <c r="G64" s="12" t="s">
        <v>59</v>
      </c>
      <c r="H64" s="12" t="s">
        <v>59</v>
      </c>
      <c r="I64" s="12" t="s">
        <v>60</v>
      </c>
      <c r="J64" s="11" t="s">
        <v>399</v>
      </c>
      <c r="K64" s="12" t="s">
        <v>62</v>
      </c>
      <c r="L64" s="12" t="s">
        <v>63</v>
      </c>
    </row>
    <row r="65" spans="1:12" ht="26.4" x14ac:dyDescent="0.3">
      <c r="A65" s="10" t="s">
        <v>400</v>
      </c>
      <c r="B65" s="11" t="s">
        <v>12</v>
      </c>
      <c r="C65" s="11" t="s">
        <v>401</v>
      </c>
      <c r="D65" s="11" t="s">
        <v>402</v>
      </c>
      <c r="E65" s="11" t="s">
        <v>403</v>
      </c>
      <c r="F65" s="11" t="s">
        <v>404</v>
      </c>
      <c r="G65" s="12" t="s">
        <v>59</v>
      </c>
      <c r="H65" s="12" t="s">
        <v>59</v>
      </c>
      <c r="I65" s="12" t="s">
        <v>60</v>
      </c>
      <c r="J65" s="11" t="s">
        <v>405</v>
      </c>
      <c r="K65" s="12" t="s">
        <v>62</v>
      </c>
      <c r="L65" s="12" t="s">
        <v>63</v>
      </c>
    </row>
    <row r="66" spans="1:12" ht="26.4" x14ac:dyDescent="0.3">
      <c r="A66" s="10" t="s">
        <v>406</v>
      </c>
      <c r="B66" s="11" t="s">
        <v>12</v>
      </c>
      <c r="C66" s="11" t="s">
        <v>407</v>
      </c>
      <c r="D66" s="11" t="s">
        <v>408</v>
      </c>
      <c r="E66" s="11" t="s">
        <v>409</v>
      </c>
      <c r="F66" s="11" t="s">
        <v>410</v>
      </c>
      <c r="G66" s="12" t="s">
        <v>59</v>
      </c>
      <c r="H66" s="12" t="s">
        <v>59</v>
      </c>
      <c r="I66" s="12" t="s">
        <v>60</v>
      </c>
      <c r="J66" s="11" t="s">
        <v>411</v>
      </c>
      <c r="K66" s="12" t="s">
        <v>62</v>
      </c>
      <c r="L66" s="12" t="s">
        <v>63</v>
      </c>
    </row>
    <row r="67" spans="1:12" ht="26.4" x14ac:dyDescent="0.3">
      <c r="A67" s="10" t="s">
        <v>412</v>
      </c>
      <c r="B67" s="11" t="s">
        <v>12</v>
      </c>
      <c r="C67" s="11" t="s">
        <v>413</v>
      </c>
      <c r="D67" s="11" t="s">
        <v>414</v>
      </c>
      <c r="E67" s="11" t="s">
        <v>415</v>
      </c>
      <c r="F67" s="11" t="s">
        <v>416</v>
      </c>
      <c r="G67" s="12" t="s">
        <v>59</v>
      </c>
      <c r="H67" s="12" t="s">
        <v>59</v>
      </c>
      <c r="I67" s="12" t="s">
        <v>60</v>
      </c>
      <c r="J67" s="11" t="s">
        <v>417</v>
      </c>
      <c r="K67" s="12" t="s">
        <v>62</v>
      </c>
      <c r="L67" s="12" t="s">
        <v>63</v>
      </c>
    </row>
    <row r="68" spans="1:12" ht="26.4" x14ac:dyDescent="0.3">
      <c r="A68" s="10" t="s">
        <v>418</v>
      </c>
      <c r="B68" s="11" t="s">
        <v>12</v>
      </c>
      <c r="C68" s="11" t="s">
        <v>419</v>
      </c>
      <c r="D68" s="11" t="s">
        <v>420</v>
      </c>
      <c r="E68" s="11" t="s">
        <v>421</v>
      </c>
      <c r="F68" s="11" t="s">
        <v>422</v>
      </c>
      <c r="G68" s="12" t="s">
        <v>59</v>
      </c>
      <c r="H68" s="12" t="s">
        <v>59</v>
      </c>
      <c r="I68" s="12" t="s">
        <v>60</v>
      </c>
      <c r="J68" s="11" t="s">
        <v>423</v>
      </c>
      <c r="K68" s="12" t="s">
        <v>62</v>
      </c>
      <c r="L68" s="12" t="s">
        <v>63</v>
      </c>
    </row>
    <row r="69" spans="1:12" ht="26.4" x14ac:dyDescent="0.3">
      <c r="A69" s="10" t="s">
        <v>424</v>
      </c>
      <c r="B69" s="11" t="s">
        <v>12</v>
      </c>
      <c r="C69" s="11" t="s">
        <v>425</v>
      </c>
      <c r="D69" s="11" t="s">
        <v>426</v>
      </c>
      <c r="E69" s="11" t="s">
        <v>427</v>
      </c>
      <c r="F69" s="11" t="s">
        <v>428</v>
      </c>
      <c r="G69" s="12" t="s">
        <v>59</v>
      </c>
      <c r="H69" s="12" t="s">
        <v>59</v>
      </c>
      <c r="I69" s="12" t="s">
        <v>60</v>
      </c>
      <c r="J69" s="11" t="s">
        <v>429</v>
      </c>
      <c r="K69" s="12" t="s">
        <v>62</v>
      </c>
      <c r="L69" s="12" t="s">
        <v>63</v>
      </c>
    </row>
    <row r="70" spans="1:12" ht="39.6" x14ac:dyDescent="0.3">
      <c r="A70" s="10" t="s">
        <v>430</v>
      </c>
      <c r="B70" s="11" t="s">
        <v>12</v>
      </c>
      <c r="C70" s="11" t="s">
        <v>431</v>
      </c>
      <c r="D70" s="11" t="s">
        <v>432</v>
      </c>
      <c r="E70" s="11" t="s">
        <v>433</v>
      </c>
      <c r="F70" s="11" t="s">
        <v>434</v>
      </c>
      <c r="G70" s="12" t="s">
        <v>59</v>
      </c>
      <c r="H70" s="12" t="s">
        <v>59</v>
      </c>
      <c r="I70" s="12" t="s">
        <v>60</v>
      </c>
      <c r="J70" s="11" t="s">
        <v>435</v>
      </c>
      <c r="K70" s="12" t="s">
        <v>62</v>
      </c>
      <c r="L70" s="12" t="s">
        <v>63</v>
      </c>
    </row>
    <row r="71" spans="1:12" ht="26.4" x14ac:dyDescent="0.3">
      <c r="A71" s="10" t="s">
        <v>436</v>
      </c>
      <c r="B71" s="11" t="s">
        <v>12</v>
      </c>
      <c r="C71" s="11" t="s">
        <v>437</v>
      </c>
      <c r="D71" s="11" t="s">
        <v>438</v>
      </c>
      <c r="E71" s="11" t="s">
        <v>439</v>
      </c>
      <c r="F71" s="11" t="s">
        <v>440</v>
      </c>
      <c r="G71" s="12" t="s">
        <v>59</v>
      </c>
      <c r="H71" s="12" t="s">
        <v>59</v>
      </c>
      <c r="I71" s="12" t="s">
        <v>60</v>
      </c>
      <c r="J71" s="11" t="s">
        <v>441</v>
      </c>
      <c r="K71" s="12" t="s">
        <v>62</v>
      </c>
      <c r="L71" s="12" t="s">
        <v>63</v>
      </c>
    </row>
    <row r="72" spans="1:12" ht="26.4" x14ac:dyDescent="0.3">
      <c r="A72" s="10" t="s">
        <v>442</v>
      </c>
      <c r="B72" s="11" t="s">
        <v>12</v>
      </c>
      <c r="C72" s="11" t="s">
        <v>443</v>
      </c>
      <c r="D72" s="11" t="s">
        <v>444</v>
      </c>
      <c r="E72" s="11" t="s">
        <v>445</v>
      </c>
      <c r="F72" s="11" t="s">
        <v>446</v>
      </c>
      <c r="G72" s="12" t="s">
        <v>59</v>
      </c>
      <c r="H72" s="12" t="s">
        <v>59</v>
      </c>
      <c r="I72" s="12" t="s">
        <v>60</v>
      </c>
      <c r="J72" s="11" t="s">
        <v>447</v>
      </c>
      <c r="K72" s="12" t="s">
        <v>62</v>
      </c>
      <c r="L72" s="12" t="s">
        <v>63</v>
      </c>
    </row>
    <row r="73" spans="1:12" ht="26.4" x14ac:dyDescent="0.3">
      <c r="A73" s="10" t="s">
        <v>448</v>
      </c>
      <c r="B73" s="11" t="s">
        <v>12</v>
      </c>
      <c r="C73" s="11" t="s">
        <v>449</v>
      </c>
      <c r="D73" s="11" t="s">
        <v>450</v>
      </c>
      <c r="E73" s="11" t="s">
        <v>451</v>
      </c>
      <c r="F73" s="11" t="s">
        <v>452</v>
      </c>
      <c r="G73" s="12" t="s">
        <v>59</v>
      </c>
      <c r="H73" s="12" t="s">
        <v>59</v>
      </c>
      <c r="I73" s="12" t="s">
        <v>60</v>
      </c>
      <c r="J73" s="11" t="s">
        <v>453</v>
      </c>
      <c r="K73" s="12" t="s">
        <v>62</v>
      </c>
      <c r="L73" s="12" t="s">
        <v>63</v>
      </c>
    </row>
    <row r="74" spans="1:12" ht="26.4" x14ac:dyDescent="0.3">
      <c r="A74" s="10" t="s">
        <v>454</v>
      </c>
      <c r="B74" s="11" t="s">
        <v>12</v>
      </c>
      <c r="C74" s="11" t="s">
        <v>455</v>
      </c>
      <c r="D74" s="11" t="s">
        <v>456</v>
      </c>
      <c r="E74" s="11" t="s">
        <v>457</v>
      </c>
      <c r="F74" s="11" t="s">
        <v>458</v>
      </c>
      <c r="G74" s="12" t="s">
        <v>59</v>
      </c>
      <c r="H74" s="12" t="s">
        <v>59</v>
      </c>
      <c r="I74" s="12" t="s">
        <v>60</v>
      </c>
      <c r="J74" s="11" t="s">
        <v>459</v>
      </c>
      <c r="K74" s="12" t="s">
        <v>62</v>
      </c>
      <c r="L74" s="12" t="s">
        <v>63</v>
      </c>
    </row>
    <row r="75" spans="1:12" ht="26.4" x14ac:dyDescent="0.3">
      <c r="A75" s="10" t="s">
        <v>460</v>
      </c>
      <c r="B75" s="11" t="s">
        <v>12</v>
      </c>
      <c r="C75" s="11" t="s">
        <v>461</v>
      </c>
      <c r="D75" s="11" t="s">
        <v>462</v>
      </c>
      <c r="E75" s="11" t="s">
        <v>457</v>
      </c>
      <c r="F75" s="11" t="s">
        <v>463</v>
      </c>
      <c r="G75" s="12" t="s">
        <v>59</v>
      </c>
      <c r="H75" s="12" t="s">
        <v>59</v>
      </c>
      <c r="I75" s="12" t="s">
        <v>60</v>
      </c>
      <c r="J75" s="11" t="s">
        <v>464</v>
      </c>
      <c r="K75" s="12" t="s">
        <v>62</v>
      </c>
      <c r="L75" s="12" t="s">
        <v>63</v>
      </c>
    </row>
    <row r="76" spans="1:12" ht="26.4" x14ac:dyDescent="0.3">
      <c r="A76" s="10" t="s">
        <v>465</v>
      </c>
      <c r="B76" s="11" t="s">
        <v>12</v>
      </c>
      <c r="C76" s="11" t="s">
        <v>466</v>
      </c>
      <c r="D76" s="11" t="s">
        <v>467</v>
      </c>
      <c r="E76" s="11" t="s">
        <v>184</v>
      </c>
      <c r="F76" s="11" t="s">
        <v>185</v>
      </c>
      <c r="G76" s="12" t="s">
        <v>59</v>
      </c>
      <c r="H76" s="12" t="s">
        <v>59</v>
      </c>
      <c r="I76" s="12" t="s">
        <v>60</v>
      </c>
      <c r="J76" s="11" t="s">
        <v>468</v>
      </c>
      <c r="K76" s="12" t="s">
        <v>62</v>
      </c>
      <c r="L76" s="12" t="s">
        <v>63</v>
      </c>
    </row>
    <row r="77" spans="1:12" ht="26.4" x14ac:dyDescent="0.3">
      <c r="A77" s="10" t="s">
        <v>469</v>
      </c>
      <c r="B77" s="11" t="s">
        <v>12</v>
      </c>
      <c r="C77" s="11" t="s">
        <v>470</v>
      </c>
      <c r="D77" s="11" t="s">
        <v>471</v>
      </c>
      <c r="E77" s="11" t="s">
        <v>472</v>
      </c>
      <c r="F77" s="11" t="s">
        <v>473</v>
      </c>
      <c r="G77" s="12" t="s">
        <v>59</v>
      </c>
      <c r="H77" s="12" t="s">
        <v>59</v>
      </c>
      <c r="I77" s="12" t="s">
        <v>60</v>
      </c>
      <c r="J77" s="11" t="s">
        <v>474</v>
      </c>
      <c r="K77" s="12" t="s">
        <v>62</v>
      </c>
      <c r="L77" s="12" t="s">
        <v>63</v>
      </c>
    </row>
    <row r="78" spans="1:12" ht="26.4" x14ac:dyDescent="0.3">
      <c r="A78" s="10" t="s">
        <v>475</v>
      </c>
      <c r="B78" s="11" t="s">
        <v>12</v>
      </c>
      <c r="C78" s="11" t="s">
        <v>476</v>
      </c>
      <c r="D78" s="11" t="s">
        <v>477</v>
      </c>
      <c r="E78" s="11" t="s">
        <v>478</v>
      </c>
      <c r="F78" s="11" t="s">
        <v>479</v>
      </c>
      <c r="G78" s="12" t="s">
        <v>59</v>
      </c>
      <c r="H78" s="12" t="s">
        <v>59</v>
      </c>
      <c r="I78" s="12" t="s">
        <v>60</v>
      </c>
      <c r="J78" s="11" t="s">
        <v>480</v>
      </c>
      <c r="K78" s="12" t="s">
        <v>62</v>
      </c>
      <c r="L78" s="12" t="s">
        <v>63</v>
      </c>
    </row>
    <row r="79" spans="1:12" ht="26.4" x14ac:dyDescent="0.3">
      <c r="A79" s="10" t="s">
        <v>481</v>
      </c>
      <c r="B79" s="11" t="s">
        <v>12</v>
      </c>
      <c r="C79" s="11" t="s">
        <v>482</v>
      </c>
      <c r="D79" s="11" t="s">
        <v>483</v>
      </c>
      <c r="E79" s="11" t="s">
        <v>484</v>
      </c>
      <c r="F79" s="11" t="s">
        <v>485</v>
      </c>
      <c r="G79" s="12" t="s">
        <v>59</v>
      </c>
      <c r="H79" s="12" t="s">
        <v>59</v>
      </c>
      <c r="I79" s="12" t="s">
        <v>60</v>
      </c>
      <c r="J79" s="11" t="s">
        <v>486</v>
      </c>
      <c r="K79" s="12" t="s">
        <v>62</v>
      </c>
      <c r="L79" s="12" t="s">
        <v>63</v>
      </c>
    </row>
    <row r="80" spans="1:12" ht="26.4" x14ac:dyDescent="0.3">
      <c r="A80" s="10" t="s">
        <v>487</v>
      </c>
      <c r="B80" s="11" t="s">
        <v>12</v>
      </c>
      <c r="C80" s="11" t="s">
        <v>488</v>
      </c>
      <c r="D80" s="11" t="s">
        <v>489</v>
      </c>
      <c r="E80" s="11" t="s">
        <v>490</v>
      </c>
      <c r="F80" s="11" t="s">
        <v>491</v>
      </c>
      <c r="G80" s="12" t="s">
        <v>59</v>
      </c>
      <c r="H80" s="12" t="s">
        <v>59</v>
      </c>
      <c r="I80" s="12" t="s">
        <v>60</v>
      </c>
      <c r="J80" s="11" t="s">
        <v>492</v>
      </c>
      <c r="K80" s="12" t="s">
        <v>62</v>
      </c>
      <c r="L80" s="12" t="s">
        <v>63</v>
      </c>
    </row>
    <row r="81" spans="1:12" ht="26.4" x14ac:dyDescent="0.3">
      <c r="A81" s="10" t="s">
        <v>493</v>
      </c>
      <c r="B81" s="11" t="s">
        <v>12</v>
      </c>
      <c r="C81" s="11" t="s">
        <v>494</v>
      </c>
      <c r="D81" s="11" t="s">
        <v>495</v>
      </c>
      <c r="E81" s="11" t="s">
        <v>334</v>
      </c>
      <c r="F81" s="11" t="s">
        <v>496</v>
      </c>
      <c r="G81" s="12" t="s">
        <v>59</v>
      </c>
      <c r="H81" s="12" t="s">
        <v>59</v>
      </c>
      <c r="I81" s="12" t="s">
        <v>60</v>
      </c>
      <c r="J81" s="11" t="s">
        <v>497</v>
      </c>
      <c r="K81" s="12" t="s">
        <v>62</v>
      </c>
      <c r="L81" s="12" t="s">
        <v>63</v>
      </c>
    </row>
    <row r="82" spans="1:12" ht="26.4" x14ac:dyDescent="0.3">
      <c r="A82" s="10" t="s">
        <v>498</v>
      </c>
      <c r="B82" s="11" t="s">
        <v>12</v>
      </c>
      <c r="C82" s="11" t="s">
        <v>499</v>
      </c>
      <c r="D82" s="11" t="s">
        <v>500</v>
      </c>
      <c r="E82" s="11" t="s">
        <v>501</v>
      </c>
      <c r="F82" s="11" t="s">
        <v>502</v>
      </c>
      <c r="G82" s="12" t="s">
        <v>59</v>
      </c>
      <c r="H82" s="12" t="s">
        <v>59</v>
      </c>
      <c r="I82" s="12" t="s">
        <v>60</v>
      </c>
      <c r="J82" s="11" t="s">
        <v>503</v>
      </c>
      <c r="K82" s="12" t="s">
        <v>62</v>
      </c>
      <c r="L82" s="12" t="s">
        <v>63</v>
      </c>
    </row>
    <row r="83" spans="1:12" ht="26.4" x14ac:dyDescent="0.3">
      <c r="A83" s="10" t="s">
        <v>504</v>
      </c>
      <c r="B83" s="11" t="s">
        <v>12</v>
      </c>
      <c r="C83" s="11" t="s">
        <v>505</v>
      </c>
      <c r="D83" s="11" t="s">
        <v>506</v>
      </c>
      <c r="E83" s="11" t="s">
        <v>115</v>
      </c>
      <c r="F83" s="11" t="s">
        <v>507</v>
      </c>
      <c r="G83" s="12" t="s">
        <v>59</v>
      </c>
      <c r="H83" s="12" t="s">
        <v>59</v>
      </c>
      <c r="I83" s="12" t="s">
        <v>508</v>
      </c>
      <c r="J83" s="11" t="s">
        <v>509</v>
      </c>
      <c r="K83" s="12" t="s">
        <v>62</v>
      </c>
      <c r="L83" s="12" t="s">
        <v>510</v>
      </c>
    </row>
    <row r="84" spans="1:12" ht="26.4" x14ac:dyDescent="0.3">
      <c r="A84" s="10" t="s">
        <v>511</v>
      </c>
      <c r="B84" s="11" t="s">
        <v>12</v>
      </c>
      <c r="C84" s="11" t="s">
        <v>512</v>
      </c>
      <c r="D84" s="11" t="s">
        <v>506</v>
      </c>
      <c r="E84" s="11" t="s">
        <v>115</v>
      </c>
      <c r="F84" s="11" t="s">
        <v>513</v>
      </c>
      <c r="G84" s="12" t="s">
        <v>59</v>
      </c>
      <c r="H84" s="12" t="s">
        <v>59</v>
      </c>
      <c r="I84" s="12" t="s">
        <v>508</v>
      </c>
      <c r="J84" s="11" t="s">
        <v>509</v>
      </c>
      <c r="K84" s="12" t="s">
        <v>62</v>
      </c>
      <c r="L84" s="12" t="s">
        <v>510</v>
      </c>
    </row>
    <row r="85" spans="1:12" ht="26.4" x14ac:dyDescent="0.3">
      <c r="A85" s="10" t="s">
        <v>514</v>
      </c>
      <c r="B85" s="11" t="s">
        <v>12</v>
      </c>
      <c r="C85" s="11" t="s">
        <v>515</v>
      </c>
      <c r="D85" s="11" t="s">
        <v>506</v>
      </c>
      <c r="E85" s="11" t="s">
        <v>115</v>
      </c>
      <c r="F85" s="11" t="s">
        <v>516</v>
      </c>
      <c r="G85" s="12" t="s">
        <v>59</v>
      </c>
      <c r="H85" s="12" t="s">
        <v>59</v>
      </c>
      <c r="I85" s="12" t="s">
        <v>508</v>
      </c>
      <c r="J85" s="11" t="s">
        <v>509</v>
      </c>
      <c r="K85" s="12" t="s">
        <v>62</v>
      </c>
      <c r="L85" s="12" t="s">
        <v>510</v>
      </c>
    </row>
    <row r="86" spans="1:12" ht="26.4" x14ac:dyDescent="0.3">
      <c r="A86" s="10" t="s">
        <v>517</v>
      </c>
      <c r="B86" s="11" t="s">
        <v>12</v>
      </c>
      <c r="C86" s="11" t="s">
        <v>518</v>
      </c>
      <c r="D86" s="11" t="s">
        <v>506</v>
      </c>
      <c r="E86" s="11" t="s">
        <v>115</v>
      </c>
      <c r="F86" s="11" t="s">
        <v>519</v>
      </c>
      <c r="G86" s="12" t="s">
        <v>59</v>
      </c>
      <c r="H86" s="12" t="s">
        <v>59</v>
      </c>
      <c r="I86" s="12" t="s">
        <v>508</v>
      </c>
      <c r="J86" s="11" t="s">
        <v>509</v>
      </c>
      <c r="K86" s="12" t="s">
        <v>62</v>
      </c>
      <c r="L86" s="12" t="s">
        <v>510</v>
      </c>
    </row>
    <row r="87" spans="1:12" ht="26.4" x14ac:dyDescent="0.3">
      <c r="A87" s="10" t="s">
        <v>520</v>
      </c>
      <c r="B87" s="11" t="s">
        <v>12</v>
      </c>
      <c r="C87" s="11" t="s">
        <v>521</v>
      </c>
      <c r="D87" s="11" t="s">
        <v>522</v>
      </c>
      <c r="E87" s="11" t="s">
        <v>334</v>
      </c>
      <c r="F87" s="11" t="s">
        <v>523</v>
      </c>
      <c r="G87" s="12" t="s">
        <v>59</v>
      </c>
      <c r="H87" s="12" t="s">
        <v>59</v>
      </c>
      <c r="I87" s="12" t="s">
        <v>508</v>
      </c>
      <c r="J87" s="11" t="s">
        <v>524</v>
      </c>
      <c r="K87" s="12" t="s">
        <v>62</v>
      </c>
      <c r="L87" s="12" t="s">
        <v>510</v>
      </c>
    </row>
    <row r="88" spans="1:12" ht="26.4" x14ac:dyDescent="0.3">
      <c r="A88" s="10" t="s">
        <v>525</v>
      </c>
      <c r="B88" s="11" t="s">
        <v>12</v>
      </c>
      <c r="C88" s="11" t="s">
        <v>526</v>
      </c>
      <c r="D88" s="11" t="s">
        <v>522</v>
      </c>
      <c r="E88" s="11" t="s">
        <v>350</v>
      </c>
      <c r="F88" s="11" t="s">
        <v>523</v>
      </c>
      <c r="G88" s="12" t="s">
        <v>59</v>
      </c>
      <c r="H88" s="12" t="s">
        <v>59</v>
      </c>
      <c r="I88" s="12" t="s">
        <v>508</v>
      </c>
      <c r="J88" s="11" t="s">
        <v>524</v>
      </c>
      <c r="K88" s="12" t="s">
        <v>62</v>
      </c>
      <c r="L88" s="12" t="s">
        <v>510</v>
      </c>
    </row>
    <row r="89" spans="1:12" ht="26.4" x14ac:dyDescent="0.3">
      <c r="A89" s="10" t="s">
        <v>527</v>
      </c>
      <c r="B89" s="11" t="s">
        <v>12</v>
      </c>
      <c r="C89" s="11" t="s">
        <v>528</v>
      </c>
      <c r="D89" s="11" t="s">
        <v>522</v>
      </c>
      <c r="E89" s="11" t="s">
        <v>310</v>
      </c>
      <c r="F89" s="11" t="s">
        <v>523</v>
      </c>
      <c r="G89" s="12" t="s">
        <v>59</v>
      </c>
      <c r="H89" s="12" t="s">
        <v>59</v>
      </c>
      <c r="I89" s="12" t="s">
        <v>508</v>
      </c>
      <c r="J89" s="11" t="s">
        <v>524</v>
      </c>
      <c r="K89" s="12" t="s">
        <v>62</v>
      </c>
      <c r="L89" s="12" t="s">
        <v>510</v>
      </c>
    </row>
    <row r="90" spans="1:12" ht="26.4" x14ac:dyDescent="0.3">
      <c r="A90" s="10" t="s">
        <v>529</v>
      </c>
      <c r="B90" s="11" t="s">
        <v>12</v>
      </c>
      <c r="C90" s="11" t="s">
        <v>530</v>
      </c>
      <c r="D90" s="11" t="s">
        <v>522</v>
      </c>
      <c r="E90" s="11" t="s">
        <v>392</v>
      </c>
      <c r="F90" s="11" t="s">
        <v>523</v>
      </c>
      <c r="G90" s="12" t="s">
        <v>59</v>
      </c>
      <c r="H90" s="12" t="s">
        <v>59</v>
      </c>
      <c r="I90" s="12" t="s">
        <v>508</v>
      </c>
      <c r="J90" s="11" t="s">
        <v>524</v>
      </c>
      <c r="K90" s="12" t="s">
        <v>62</v>
      </c>
      <c r="L90" s="12" t="s">
        <v>510</v>
      </c>
    </row>
    <row r="91" spans="1:12" ht="26.4" x14ac:dyDescent="0.3">
      <c r="A91" s="10" t="s">
        <v>531</v>
      </c>
      <c r="B91" s="11" t="s">
        <v>12</v>
      </c>
      <c r="C91" s="11" t="s">
        <v>532</v>
      </c>
      <c r="D91" s="11" t="s">
        <v>522</v>
      </c>
      <c r="E91" s="11" t="s">
        <v>501</v>
      </c>
      <c r="F91" s="11" t="s">
        <v>523</v>
      </c>
      <c r="G91" s="12" t="s">
        <v>59</v>
      </c>
      <c r="H91" s="12" t="s">
        <v>59</v>
      </c>
      <c r="I91" s="12" t="s">
        <v>508</v>
      </c>
      <c r="J91" s="11" t="s">
        <v>524</v>
      </c>
      <c r="K91" s="12" t="s">
        <v>62</v>
      </c>
      <c r="L91" s="12" t="s">
        <v>510</v>
      </c>
    </row>
    <row r="92" spans="1:12" ht="26.4" x14ac:dyDescent="0.3">
      <c r="A92" s="10" t="s">
        <v>533</v>
      </c>
      <c r="B92" s="11" t="s">
        <v>12</v>
      </c>
      <c r="C92" s="11" t="s">
        <v>534</v>
      </c>
      <c r="D92" s="11" t="s">
        <v>535</v>
      </c>
      <c r="E92" s="11" t="s">
        <v>536</v>
      </c>
      <c r="F92" s="11" t="s">
        <v>537</v>
      </c>
      <c r="G92" s="12" t="s">
        <v>59</v>
      </c>
      <c r="H92" s="12" t="s">
        <v>59</v>
      </c>
      <c r="I92" s="12" t="s">
        <v>508</v>
      </c>
      <c r="J92" s="11" t="s">
        <v>538</v>
      </c>
      <c r="K92" s="12" t="s">
        <v>62</v>
      </c>
      <c r="L92" s="12" t="s">
        <v>510</v>
      </c>
    </row>
    <row r="93" spans="1:12" ht="26.4" x14ac:dyDescent="0.3">
      <c r="A93" s="10" t="s">
        <v>539</v>
      </c>
      <c r="B93" s="11" t="s">
        <v>12</v>
      </c>
      <c r="C93" s="11" t="s">
        <v>540</v>
      </c>
      <c r="D93" s="11" t="s">
        <v>535</v>
      </c>
      <c r="E93" s="11" t="s">
        <v>541</v>
      </c>
      <c r="F93" s="11" t="s">
        <v>542</v>
      </c>
      <c r="G93" s="12" t="s">
        <v>59</v>
      </c>
      <c r="H93" s="12" t="s">
        <v>59</v>
      </c>
      <c r="I93" s="12" t="s">
        <v>508</v>
      </c>
      <c r="J93" s="11" t="s">
        <v>538</v>
      </c>
      <c r="K93" s="12" t="s">
        <v>62</v>
      </c>
      <c r="L93" s="12" t="s">
        <v>510</v>
      </c>
    </row>
    <row r="94" spans="1:12" ht="26.4" x14ac:dyDescent="0.3">
      <c r="A94" s="10" t="s">
        <v>543</v>
      </c>
      <c r="B94" s="11" t="s">
        <v>12</v>
      </c>
      <c r="C94" s="11" t="s">
        <v>544</v>
      </c>
      <c r="D94" s="11" t="s">
        <v>535</v>
      </c>
      <c r="E94" s="11" t="s">
        <v>545</v>
      </c>
      <c r="F94" s="11" t="s">
        <v>546</v>
      </c>
      <c r="G94" s="12" t="s">
        <v>59</v>
      </c>
      <c r="H94" s="12" t="s">
        <v>59</v>
      </c>
      <c r="I94" s="12" t="s">
        <v>508</v>
      </c>
      <c r="J94" s="11" t="s">
        <v>538</v>
      </c>
      <c r="K94" s="12" t="s">
        <v>62</v>
      </c>
      <c r="L94" s="12" t="s">
        <v>510</v>
      </c>
    </row>
    <row r="95" spans="1:12" ht="26.4" x14ac:dyDescent="0.3">
      <c r="A95" s="10" t="s">
        <v>547</v>
      </c>
      <c r="B95" s="11" t="s">
        <v>12</v>
      </c>
      <c r="C95" s="11" t="s">
        <v>548</v>
      </c>
      <c r="D95" s="11" t="s">
        <v>535</v>
      </c>
      <c r="E95" s="11" t="s">
        <v>549</v>
      </c>
      <c r="F95" s="11" t="s">
        <v>550</v>
      </c>
      <c r="G95" s="12" t="s">
        <v>59</v>
      </c>
      <c r="H95" s="12" t="s">
        <v>59</v>
      </c>
      <c r="I95" s="12" t="s">
        <v>508</v>
      </c>
      <c r="J95" s="11" t="s">
        <v>538</v>
      </c>
      <c r="K95" s="12" t="s">
        <v>62</v>
      </c>
      <c r="L95" s="12" t="s">
        <v>510</v>
      </c>
    </row>
    <row r="96" spans="1:12" ht="26.4" x14ac:dyDescent="0.3">
      <c r="A96" s="10" t="s">
        <v>551</v>
      </c>
      <c r="B96" s="11" t="s">
        <v>12</v>
      </c>
      <c r="C96" s="11" t="s">
        <v>552</v>
      </c>
      <c r="D96" s="11" t="s">
        <v>553</v>
      </c>
      <c r="E96" s="11" t="s">
        <v>334</v>
      </c>
      <c r="F96" s="11" t="s">
        <v>554</v>
      </c>
      <c r="G96" s="12" t="s">
        <v>59</v>
      </c>
      <c r="H96" s="12" t="s">
        <v>59</v>
      </c>
      <c r="I96" s="12" t="s">
        <v>508</v>
      </c>
      <c r="J96" s="11" t="s">
        <v>555</v>
      </c>
      <c r="K96" s="12" t="s">
        <v>62</v>
      </c>
      <c r="L96" s="12" t="s">
        <v>510</v>
      </c>
    </row>
    <row r="97" spans="1:12" ht="26.4" x14ac:dyDescent="0.3">
      <c r="A97" s="10" t="s">
        <v>556</v>
      </c>
      <c r="B97" s="11" t="s">
        <v>12</v>
      </c>
      <c r="C97" s="11" t="s">
        <v>557</v>
      </c>
      <c r="D97" s="11" t="s">
        <v>553</v>
      </c>
      <c r="E97" s="11" t="s">
        <v>350</v>
      </c>
      <c r="F97" s="11" t="s">
        <v>554</v>
      </c>
      <c r="G97" s="12" t="s">
        <v>59</v>
      </c>
      <c r="H97" s="12" t="s">
        <v>59</v>
      </c>
      <c r="I97" s="12" t="s">
        <v>508</v>
      </c>
      <c r="J97" s="11" t="s">
        <v>555</v>
      </c>
      <c r="K97" s="12" t="s">
        <v>62</v>
      </c>
      <c r="L97" s="12" t="s">
        <v>510</v>
      </c>
    </row>
    <row r="98" spans="1:12" ht="26.4" x14ac:dyDescent="0.3">
      <c r="A98" s="10" t="s">
        <v>558</v>
      </c>
      <c r="B98" s="11" t="s">
        <v>12</v>
      </c>
      <c r="C98" s="11" t="s">
        <v>559</v>
      </c>
      <c r="D98" s="11" t="s">
        <v>553</v>
      </c>
      <c r="E98" s="11" t="s">
        <v>310</v>
      </c>
      <c r="F98" s="11" t="s">
        <v>554</v>
      </c>
      <c r="G98" s="12" t="s">
        <v>59</v>
      </c>
      <c r="H98" s="12" t="s">
        <v>59</v>
      </c>
      <c r="I98" s="12" t="s">
        <v>508</v>
      </c>
      <c r="J98" s="11" t="s">
        <v>555</v>
      </c>
      <c r="K98" s="12" t="s">
        <v>62</v>
      </c>
      <c r="L98" s="12" t="s">
        <v>510</v>
      </c>
    </row>
    <row r="99" spans="1:12" ht="26.4" x14ac:dyDescent="0.3">
      <c r="A99" s="10" t="s">
        <v>560</v>
      </c>
      <c r="B99" s="11" t="s">
        <v>12</v>
      </c>
      <c r="C99" s="11" t="s">
        <v>561</v>
      </c>
      <c r="D99" s="11" t="s">
        <v>553</v>
      </c>
      <c r="E99" s="11" t="s">
        <v>392</v>
      </c>
      <c r="F99" s="11" t="s">
        <v>554</v>
      </c>
      <c r="G99" s="12" t="s">
        <v>59</v>
      </c>
      <c r="H99" s="12" t="s">
        <v>59</v>
      </c>
      <c r="I99" s="12" t="s">
        <v>508</v>
      </c>
      <c r="J99" s="11" t="s">
        <v>555</v>
      </c>
      <c r="K99" s="12" t="s">
        <v>62</v>
      </c>
      <c r="L99" s="12" t="s">
        <v>510</v>
      </c>
    </row>
    <row r="100" spans="1:12" ht="26.4" x14ac:dyDescent="0.3">
      <c r="A100" s="10" t="s">
        <v>562</v>
      </c>
      <c r="B100" s="11" t="s">
        <v>12</v>
      </c>
      <c r="C100" s="11" t="s">
        <v>563</v>
      </c>
      <c r="D100" s="11" t="s">
        <v>553</v>
      </c>
      <c r="E100" s="11" t="s">
        <v>501</v>
      </c>
      <c r="F100" s="11" t="s">
        <v>554</v>
      </c>
      <c r="G100" s="12" t="s">
        <v>59</v>
      </c>
      <c r="H100" s="12" t="s">
        <v>59</v>
      </c>
      <c r="I100" s="12" t="s">
        <v>508</v>
      </c>
      <c r="J100" s="11" t="s">
        <v>555</v>
      </c>
      <c r="K100" s="12" t="s">
        <v>62</v>
      </c>
      <c r="L100" s="12" t="s">
        <v>510</v>
      </c>
    </row>
    <row r="101" spans="1:12" ht="26.4" x14ac:dyDescent="0.3">
      <c r="A101" s="10" t="s">
        <v>564</v>
      </c>
      <c r="B101" s="11" t="s">
        <v>12</v>
      </c>
      <c r="C101" s="11" t="s">
        <v>565</v>
      </c>
      <c r="D101" s="11" t="s">
        <v>566</v>
      </c>
      <c r="E101" s="11" t="s">
        <v>567</v>
      </c>
      <c r="F101" s="11" t="s">
        <v>568</v>
      </c>
      <c r="G101" s="12" t="s">
        <v>59</v>
      </c>
      <c r="H101" s="12" t="s">
        <v>59</v>
      </c>
      <c r="I101" s="12" t="s">
        <v>508</v>
      </c>
      <c r="J101" s="11" t="s">
        <v>569</v>
      </c>
      <c r="K101" s="12" t="s">
        <v>62</v>
      </c>
      <c r="L101" s="12" t="s">
        <v>510</v>
      </c>
    </row>
    <row r="102" spans="1:12" ht="26.4" x14ac:dyDescent="0.3">
      <c r="A102" s="10" t="s">
        <v>570</v>
      </c>
      <c r="B102" s="11" t="s">
        <v>12</v>
      </c>
      <c r="C102" s="11" t="s">
        <v>571</v>
      </c>
      <c r="D102" s="11" t="s">
        <v>566</v>
      </c>
      <c r="E102" s="11" t="s">
        <v>572</v>
      </c>
      <c r="F102" s="11" t="s">
        <v>573</v>
      </c>
      <c r="G102" s="12" t="s">
        <v>59</v>
      </c>
      <c r="H102" s="12" t="s">
        <v>59</v>
      </c>
      <c r="I102" s="12" t="s">
        <v>508</v>
      </c>
      <c r="J102" s="11" t="s">
        <v>569</v>
      </c>
      <c r="K102" s="12" t="s">
        <v>62</v>
      </c>
      <c r="L102" s="12" t="s">
        <v>510</v>
      </c>
    </row>
    <row r="103" spans="1:12" ht="26.4" x14ac:dyDescent="0.3">
      <c r="A103" s="10" t="s">
        <v>574</v>
      </c>
      <c r="B103" s="11" t="s">
        <v>12</v>
      </c>
      <c r="C103" s="11" t="s">
        <v>575</v>
      </c>
      <c r="D103" s="11" t="s">
        <v>566</v>
      </c>
      <c r="E103" s="11" t="s">
        <v>576</v>
      </c>
      <c r="F103" s="11" t="s">
        <v>577</v>
      </c>
      <c r="G103" s="12" t="s">
        <v>59</v>
      </c>
      <c r="H103" s="12" t="s">
        <v>59</v>
      </c>
      <c r="I103" s="12" t="s">
        <v>508</v>
      </c>
      <c r="J103" s="11" t="s">
        <v>569</v>
      </c>
      <c r="K103" s="12" t="s">
        <v>62</v>
      </c>
      <c r="L103" s="12" t="s">
        <v>510</v>
      </c>
    </row>
    <row r="104" spans="1:12" ht="26.4" x14ac:dyDescent="0.3">
      <c r="A104" s="10" t="s">
        <v>578</v>
      </c>
      <c r="B104" s="11" t="s">
        <v>12</v>
      </c>
      <c r="C104" s="11" t="s">
        <v>579</v>
      </c>
      <c r="D104" s="11" t="s">
        <v>566</v>
      </c>
      <c r="E104" s="11" t="s">
        <v>580</v>
      </c>
      <c r="F104" s="11" t="s">
        <v>581</v>
      </c>
      <c r="G104" s="12" t="s">
        <v>59</v>
      </c>
      <c r="H104" s="12" t="s">
        <v>59</v>
      </c>
      <c r="I104" s="12" t="s">
        <v>508</v>
      </c>
      <c r="J104" s="11" t="s">
        <v>569</v>
      </c>
      <c r="K104" s="12" t="s">
        <v>62</v>
      </c>
      <c r="L104" s="12" t="s">
        <v>510</v>
      </c>
    </row>
    <row r="105" spans="1:12" ht="26.4" x14ac:dyDescent="0.3">
      <c r="A105" s="10" t="s">
        <v>582</v>
      </c>
      <c r="B105" s="11" t="s">
        <v>12</v>
      </c>
      <c r="C105" s="11" t="s">
        <v>583</v>
      </c>
      <c r="D105" s="11" t="s">
        <v>566</v>
      </c>
      <c r="E105" s="11" t="s">
        <v>584</v>
      </c>
      <c r="F105" s="11" t="s">
        <v>585</v>
      </c>
      <c r="G105" s="12" t="s">
        <v>59</v>
      </c>
      <c r="H105" s="12" t="s">
        <v>59</v>
      </c>
      <c r="I105" s="12" t="s">
        <v>508</v>
      </c>
      <c r="J105" s="11" t="s">
        <v>569</v>
      </c>
      <c r="K105" s="12" t="s">
        <v>62</v>
      </c>
      <c r="L105" s="12" t="s">
        <v>510</v>
      </c>
    </row>
    <row r="106" spans="1:12" ht="26.4" x14ac:dyDescent="0.3">
      <c r="A106" s="10" t="s">
        <v>586</v>
      </c>
      <c r="B106" s="11" t="s">
        <v>12</v>
      </c>
      <c r="C106" s="11" t="s">
        <v>587</v>
      </c>
      <c r="D106" s="11" t="s">
        <v>566</v>
      </c>
      <c r="E106" s="11" t="s">
        <v>588</v>
      </c>
      <c r="F106" s="11" t="s">
        <v>589</v>
      </c>
      <c r="G106" s="12" t="s">
        <v>59</v>
      </c>
      <c r="H106" s="12" t="s">
        <v>59</v>
      </c>
      <c r="I106" s="12" t="s">
        <v>508</v>
      </c>
      <c r="J106" s="11" t="s">
        <v>569</v>
      </c>
      <c r="K106" s="12" t="s">
        <v>62</v>
      </c>
      <c r="L106" s="12" t="s">
        <v>510</v>
      </c>
    </row>
    <row r="107" spans="1:12" ht="26.4" x14ac:dyDescent="0.3">
      <c r="A107" s="10" t="s">
        <v>590</v>
      </c>
      <c r="B107" s="11" t="s">
        <v>12</v>
      </c>
      <c r="C107" s="11" t="s">
        <v>591</v>
      </c>
      <c r="D107" s="11" t="s">
        <v>566</v>
      </c>
      <c r="E107" s="11" t="s">
        <v>592</v>
      </c>
      <c r="F107" s="11" t="s">
        <v>593</v>
      </c>
      <c r="G107" s="12" t="s">
        <v>59</v>
      </c>
      <c r="H107" s="12" t="s">
        <v>59</v>
      </c>
      <c r="I107" s="12" t="s">
        <v>508</v>
      </c>
      <c r="J107" s="11" t="s">
        <v>569</v>
      </c>
      <c r="K107" s="12" t="s">
        <v>62</v>
      </c>
      <c r="L107" s="12" t="s">
        <v>510</v>
      </c>
    </row>
    <row r="108" spans="1:12" ht="26.4" x14ac:dyDescent="0.3">
      <c r="A108" s="10" t="s">
        <v>594</v>
      </c>
      <c r="B108" s="11" t="s">
        <v>12</v>
      </c>
      <c r="C108" s="11" t="s">
        <v>595</v>
      </c>
      <c r="D108" s="11" t="s">
        <v>566</v>
      </c>
      <c r="E108" s="11" t="s">
        <v>596</v>
      </c>
      <c r="F108" s="11" t="s">
        <v>581</v>
      </c>
      <c r="G108" s="12" t="s">
        <v>59</v>
      </c>
      <c r="H108" s="12" t="s">
        <v>59</v>
      </c>
      <c r="I108" s="12" t="s">
        <v>508</v>
      </c>
      <c r="J108" s="11" t="s">
        <v>569</v>
      </c>
      <c r="K108" s="12" t="s">
        <v>62</v>
      </c>
      <c r="L108" s="12" t="s">
        <v>510</v>
      </c>
    </row>
    <row r="109" spans="1:12" ht="26.4" x14ac:dyDescent="0.3">
      <c r="A109" s="10" t="s">
        <v>597</v>
      </c>
      <c r="B109" s="11" t="s">
        <v>12</v>
      </c>
      <c r="C109" s="11" t="s">
        <v>598</v>
      </c>
      <c r="D109" s="11" t="s">
        <v>566</v>
      </c>
      <c r="E109" s="11" t="s">
        <v>599</v>
      </c>
      <c r="F109" s="11" t="s">
        <v>600</v>
      </c>
      <c r="G109" s="12" t="s">
        <v>59</v>
      </c>
      <c r="H109" s="12" t="s">
        <v>59</v>
      </c>
      <c r="I109" s="12" t="s">
        <v>508</v>
      </c>
      <c r="J109" s="11" t="s">
        <v>569</v>
      </c>
      <c r="K109" s="12" t="s">
        <v>62</v>
      </c>
      <c r="L109" s="12" t="s">
        <v>510</v>
      </c>
    </row>
    <row r="110" spans="1:12" ht="26.4" x14ac:dyDescent="0.3">
      <c r="A110" s="10" t="s">
        <v>601</v>
      </c>
      <c r="B110" s="11" t="s">
        <v>12</v>
      </c>
      <c r="C110" s="11" t="s">
        <v>602</v>
      </c>
      <c r="D110" s="11" t="s">
        <v>566</v>
      </c>
      <c r="E110" s="11" t="s">
        <v>603</v>
      </c>
      <c r="F110" s="11" t="s">
        <v>604</v>
      </c>
      <c r="G110" s="12" t="s">
        <v>59</v>
      </c>
      <c r="H110" s="12" t="s">
        <v>59</v>
      </c>
      <c r="I110" s="12" t="s">
        <v>508</v>
      </c>
      <c r="J110" s="11" t="s">
        <v>569</v>
      </c>
      <c r="K110" s="12" t="s">
        <v>62</v>
      </c>
      <c r="L110" s="12" t="s">
        <v>510</v>
      </c>
    </row>
    <row r="111" spans="1:12" ht="26.4" x14ac:dyDescent="0.3">
      <c r="A111" s="10" t="s">
        <v>605</v>
      </c>
      <c r="B111" s="11" t="s">
        <v>12</v>
      </c>
      <c r="C111" s="11" t="s">
        <v>606</v>
      </c>
      <c r="D111" s="11" t="s">
        <v>566</v>
      </c>
      <c r="E111" s="11" t="s">
        <v>607</v>
      </c>
      <c r="F111" s="11" t="s">
        <v>608</v>
      </c>
      <c r="G111" s="12" t="s">
        <v>59</v>
      </c>
      <c r="H111" s="12" t="s">
        <v>59</v>
      </c>
      <c r="I111" s="12" t="s">
        <v>508</v>
      </c>
      <c r="J111" s="11" t="s">
        <v>569</v>
      </c>
      <c r="K111" s="12" t="s">
        <v>62</v>
      </c>
      <c r="L111" s="12" t="s">
        <v>510</v>
      </c>
    </row>
    <row r="112" spans="1:12" ht="26.4" x14ac:dyDescent="0.3">
      <c r="A112" s="10" t="s">
        <v>609</v>
      </c>
      <c r="B112" s="11" t="s">
        <v>12</v>
      </c>
      <c r="C112" s="11" t="s">
        <v>610</v>
      </c>
      <c r="D112" s="11" t="s">
        <v>566</v>
      </c>
      <c r="E112" s="11" t="s">
        <v>611</v>
      </c>
      <c r="F112" s="11" t="s">
        <v>612</v>
      </c>
      <c r="G112" s="12" t="s">
        <v>59</v>
      </c>
      <c r="H112" s="12" t="s">
        <v>59</v>
      </c>
      <c r="I112" s="12" t="s">
        <v>508</v>
      </c>
      <c r="J112" s="11" t="s">
        <v>569</v>
      </c>
      <c r="K112" s="12" t="s">
        <v>62</v>
      </c>
      <c r="L112" s="12" t="s">
        <v>510</v>
      </c>
    </row>
    <row r="113" spans="1:12" ht="26.4" x14ac:dyDescent="0.3">
      <c r="A113" s="10" t="s">
        <v>613</v>
      </c>
      <c r="B113" s="11" t="s">
        <v>12</v>
      </c>
      <c r="C113" s="11" t="s">
        <v>614</v>
      </c>
      <c r="D113" s="11" t="s">
        <v>566</v>
      </c>
      <c r="E113" s="11" t="s">
        <v>615</v>
      </c>
      <c r="F113" s="11" t="s">
        <v>616</v>
      </c>
      <c r="G113" s="12" t="s">
        <v>59</v>
      </c>
      <c r="H113" s="12" t="s">
        <v>59</v>
      </c>
      <c r="I113" s="12" t="s">
        <v>508</v>
      </c>
      <c r="J113" s="11" t="s">
        <v>569</v>
      </c>
      <c r="K113" s="12" t="s">
        <v>62</v>
      </c>
      <c r="L113" s="12" t="s">
        <v>510</v>
      </c>
    </row>
    <row r="114" spans="1:12" ht="26.4" x14ac:dyDescent="0.3">
      <c r="A114" s="10" t="s">
        <v>617</v>
      </c>
      <c r="B114" s="11" t="s">
        <v>12</v>
      </c>
      <c r="C114" s="11" t="s">
        <v>618</v>
      </c>
      <c r="D114" s="11" t="s">
        <v>566</v>
      </c>
      <c r="E114" s="11" t="s">
        <v>619</v>
      </c>
      <c r="F114" s="11" t="s">
        <v>620</v>
      </c>
      <c r="G114" s="12" t="s">
        <v>59</v>
      </c>
      <c r="H114" s="12" t="s">
        <v>59</v>
      </c>
      <c r="I114" s="12" t="s">
        <v>508</v>
      </c>
      <c r="J114" s="11" t="s">
        <v>569</v>
      </c>
      <c r="K114" s="12" t="s">
        <v>62</v>
      </c>
      <c r="L114" s="12" t="s">
        <v>510</v>
      </c>
    </row>
    <row r="115" spans="1:12" ht="26.4" x14ac:dyDescent="0.3">
      <c r="A115" s="10" t="s">
        <v>621</v>
      </c>
      <c r="B115" s="11" t="s">
        <v>12</v>
      </c>
      <c r="C115" s="11" t="s">
        <v>622</v>
      </c>
      <c r="D115" s="11" t="s">
        <v>566</v>
      </c>
      <c r="E115" s="11" t="s">
        <v>623</v>
      </c>
      <c r="F115" s="11" t="s">
        <v>624</v>
      </c>
      <c r="G115" s="12" t="s">
        <v>59</v>
      </c>
      <c r="H115" s="12" t="s">
        <v>59</v>
      </c>
      <c r="I115" s="12" t="s">
        <v>508</v>
      </c>
      <c r="J115" s="11" t="s">
        <v>569</v>
      </c>
      <c r="K115" s="12" t="s">
        <v>62</v>
      </c>
      <c r="L115" s="12" t="s">
        <v>510</v>
      </c>
    </row>
    <row r="116" spans="1:12" ht="26.4" x14ac:dyDescent="0.3">
      <c r="A116" s="10" t="s">
        <v>625</v>
      </c>
      <c r="B116" s="11" t="s">
        <v>12</v>
      </c>
      <c r="C116" s="11" t="s">
        <v>626</v>
      </c>
      <c r="D116" s="11" t="s">
        <v>566</v>
      </c>
      <c r="E116" s="11" t="s">
        <v>627</v>
      </c>
      <c r="F116" s="11" t="s">
        <v>628</v>
      </c>
      <c r="G116" s="12" t="s">
        <v>59</v>
      </c>
      <c r="H116" s="12" t="s">
        <v>59</v>
      </c>
      <c r="I116" s="12" t="s">
        <v>508</v>
      </c>
      <c r="J116" s="11" t="s">
        <v>569</v>
      </c>
      <c r="K116" s="12" t="s">
        <v>62</v>
      </c>
      <c r="L116" s="12" t="s">
        <v>510</v>
      </c>
    </row>
    <row r="117" spans="1:12" ht="26.4" x14ac:dyDescent="0.3">
      <c r="A117" s="10" t="s">
        <v>629</v>
      </c>
      <c r="B117" s="11" t="s">
        <v>12</v>
      </c>
      <c r="C117" s="11" t="s">
        <v>630</v>
      </c>
      <c r="D117" s="11" t="s">
        <v>566</v>
      </c>
      <c r="E117" s="11" t="s">
        <v>631</v>
      </c>
      <c r="F117" s="11" t="s">
        <v>632</v>
      </c>
      <c r="G117" s="12" t="s">
        <v>59</v>
      </c>
      <c r="H117" s="12" t="s">
        <v>59</v>
      </c>
      <c r="I117" s="12" t="s">
        <v>508</v>
      </c>
      <c r="J117" s="11" t="s">
        <v>569</v>
      </c>
      <c r="K117" s="12" t="s">
        <v>62</v>
      </c>
      <c r="L117" s="12" t="s">
        <v>510</v>
      </c>
    </row>
    <row r="118" spans="1:12" ht="26.4" x14ac:dyDescent="0.3">
      <c r="A118" s="10" t="s">
        <v>633</v>
      </c>
      <c r="B118" s="11" t="s">
        <v>12</v>
      </c>
      <c r="C118" s="11" t="s">
        <v>634</v>
      </c>
      <c r="D118" s="11" t="s">
        <v>566</v>
      </c>
      <c r="E118" s="11" t="s">
        <v>635</v>
      </c>
      <c r="F118" s="11" t="s">
        <v>636</v>
      </c>
      <c r="G118" s="12" t="s">
        <v>59</v>
      </c>
      <c r="H118" s="12" t="s">
        <v>59</v>
      </c>
      <c r="I118" s="12" t="s">
        <v>508</v>
      </c>
      <c r="J118" s="11" t="s">
        <v>569</v>
      </c>
      <c r="K118" s="12" t="s">
        <v>62</v>
      </c>
      <c r="L118" s="12" t="s">
        <v>510</v>
      </c>
    </row>
    <row r="119" spans="1:12" ht="26.4" x14ac:dyDescent="0.3">
      <c r="A119" s="10" t="s">
        <v>637</v>
      </c>
      <c r="B119" s="11" t="s">
        <v>12</v>
      </c>
      <c r="C119" s="11" t="s">
        <v>638</v>
      </c>
      <c r="D119" s="11" t="s">
        <v>566</v>
      </c>
      <c r="E119" s="11" t="s">
        <v>639</v>
      </c>
      <c r="F119" s="11" t="s">
        <v>640</v>
      </c>
      <c r="G119" s="12" t="s">
        <v>59</v>
      </c>
      <c r="H119" s="12" t="s">
        <v>59</v>
      </c>
      <c r="I119" s="12" t="s">
        <v>508</v>
      </c>
      <c r="J119" s="11" t="s">
        <v>569</v>
      </c>
      <c r="K119" s="12" t="s">
        <v>62</v>
      </c>
      <c r="L119" s="12" t="s">
        <v>510</v>
      </c>
    </row>
    <row r="120" spans="1:12" ht="26.4" x14ac:dyDescent="0.3">
      <c r="A120" s="10" t="s">
        <v>641</v>
      </c>
      <c r="B120" s="11" t="s">
        <v>12</v>
      </c>
      <c r="C120" s="11" t="s">
        <v>642</v>
      </c>
      <c r="D120" s="11" t="s">
        <v>566</v>
      </c>
      <c r="E120" s="11" t="s">
        <v>643</v>
      </c>
      <c r="F120" s="11" t="s">
        <v>616</v>
      </c>
      <c r="G120" s="12" t="s">
        <v>59</v>
      </c>
      <c r="H120" s="12" t="s">
        <v>59</v>
      </c>
      <c r="I120" s="12" t="s">
        <v>508</v>
      </c>
      <c r="J120" s="11" t="s">
        <v>569</v>
      </c>
      <c r="K120" s="12" t="s">
        <v>62</v>
      </c>
      <c r="L120" s="12" t="s">
        <v>510</v>
      </c>
    </row>
    <row r="121" spans="1:12" ht="26.4" x14ac:dyDescent="0.3">
      <c r="A121" s="10" t="s">
        <v>644</v>
      </c>
      <c r="B121" s="11" t="s">
        <v>12</v>
      </c>
      <c r="C121" s="11" t="s">
        <v>645</v>
      </c>
      <c r="D121" s="11" t="s">
        <v>566</v>
      </c>
      <c r="E121" s="11" t="s">
        <v>646</v>
      </c>
      <c r="F121" s="11" t="s">
        <v>647</v>
      </c>
      <c r="G121" s="12" t="s">
        <v>59</v>
      </c>
      <c r="H121" s="12" t="s">
        <v>59</v>
      </c>
      <c r="I121" s="12" t="s">
        <v>508</v>
      </c>
      <c r="J121" s="11" t="s">
        <v>569</v>
      </c>
      <c r="K121" s="12" t="s">
        <v>62</v>
      </c>
      <c r="L121" s="12" t="s">
        <v>510</v>
      </c>
    </row>
    <row r="122" spans="1:12" ht="26.4" x14ac:dyDescent="0.3">
      <c r="A122" s="10" t="s">
        <v>648</v>
      </c>
      <c r="B122" s="11" t="s">
        <v>12</v>
      </c>
      <c r="C122" s="11" t="s">
        <v>649</v>
      </c>
      <c r="D122" s="11" t="s">
        <v>566</v>
      </c>
      <c r="E122" s="11" t="s">
        <v>650</v>
      </c>
      <c r="F122" s="11" t="s">
        <v>651</v>
      </c>
      <c r="G122" s="12" t="s">
        <v>59</v>
      </c>
      <c r="H122" s="12" t="s">
        <v>59</v>
      </c>
      <c r="I122" s="12" t="s">
        <v>508</v>
      </c>
      <c r="J122" s="11" t="s">
        <v>569</v>
      </c>
      <c r="K122" s="12" t="s">
        <v>62</v>
      </c>
      <c r="L122" s="12" t="s">
        <v>510</v>
      </c>
    </row>
    <row r="123" spans="1:12" ht="26.4" x14ac:dyDescent="0.3">
      <c r="A123" s="10" t="s">
        <v>652</v>
      </c>
      <c r="B123" s="11" t="s">
        <v>12</v>
      </c>
      <c r="C123" s="11" t="s">
        <v>653</v>
      </c>
      <c r="D123" s="11" t="s">
        <v>566</v>
      </c>
      <c r="E123" s="11" t="s">
        <v>654</v>
      </c>
      <c r="F123" s="11" t="s">
        <v>655</v>
      </c>
      <c r="G123" s="12" t="s">
        <v>59</v>
      </c>
      <c r="H123" s="12" t="s">
        <v>59</v>
      </c>
      <c r="I123" s="12" t="s">
        <v>508</v>
      </c>
      <c r="J123" s="11" t="s">
        <v>569</v>
      </c>
      <c r="K123" s="12" t="s">
        <v>62</v>
      </c>
      <c r="L123" s="12" t="s">
        <v>510</v>
      </c>
    </row>
    <row r="124" spans="1:12" ht="26.4" x14ac:dyDescent="0.3">
      <c r="A124" s="10" t="s">
        <v>656</v>
      </c>
      <c r="B124" s="11" t="s">
        <v>12</v>
      </c>
      <c r="C124" s="11" t="s">
        <v>657</v>
      </c>
      <c r="D124" s="11" t="s">
        <v>566</v>
      </c>
      <c r="E124" s="11" t="s">
        <v>658</v>
      </c>
      <c r="F124" s="11" t="s">
        <v>659</v>
      </c>
      <c r="G124" s="12" t="s">
        <v>59</v>
      </c>
      <c r="H124" s="12" t="s">
        <v>59</v>
      </c>
      <c r="I124" s="12" t="s">
        <v>508</v>
      </c>
      <c r="J124" s="11" t="s">
        <v>569</v>
      </c>
      <c r="K124" s="12" t="s">
        <v>62</v>
      </c>
      <c r="L124" s="12" t="s">
        <v>510</v>
      </c>
    </row>
    <row r="125" spans="1:12" ht="26.4" x14ac:dyDescent="0.3">
      <c r="A125" s="10" t="s">
        <v>660</v>
      </c>
      <c r="B125" s="11" t="s">
        <v>12</v>
      </c>
      <c r="C125" s="11" t="s">
        <v>661</v>
      </c>
      <c r="D125" s="11" t="s">
        <v>566</v>
      </c>
      <c r="E125" s="11" t="s">
        <v>662</v>
      </c>
      <c r="F125" s="11" t="s">
        <v>663</v>
      </c>
      <c r="G125" s="12" t="s">
        <v>59</v>
      </c>
      <c r="H125" s="12" t="s">
        <v>59</v>
      </c>
      <c r="I125" s="12" t="s">
        <v>508</v>
      </c>
      <c r="J125" s="11" t="s">
        <v>569</v>
      </c>
      <c r="K125" s="12" t="s">
        <v>62</v>
      </c>
      <c r="L125" s="12" t="s">
        <v>510</v>
      </c>
    </row>
    <row r="126" spans="1:12" ht="26.4" x14ac:dyDescent="0.3">
      <c r="A126" s="10" t="s">
        <v>664</v>
      </c>
      <c r="B126" s="11" t="s">
        <v>12</v>
      </c>
      <c r="C126" s="11" t="s">
        <v>665</v>
      </c>
      <c r="D126" s="11" t="s">
        <v>566</v>
      </c>
      <c r="E126" s="11" t="s">
        <v>666</v>
      </c>
      <c r="F126" s="11" t="s">
        <v>651</v>
      </c>
      <c r="G126" s="12" t="s">
        <v>59</v>
      </c>
      <c r="H126" s="12" t="s">
        <v>59</v>
      </c>
      <c r="I126" s="12" t="s">
        <v>508</v>
      </c>
      <c r="J126" s="11" t="s">
        <v>569</v>
      </c>
      <c r="K126" s="12" t="s">
        <v>62</v>
      </c>
      <c r="L126" s="12" t="s">
        <v>510</v>
      </c>
    </row>
    <row r="127" spans="1:12" ht="26.4" x14ac:dyDescent="0.3">
      <c r="A127" s="10" t="s">
        <v>667</v>
      </c>
      <c r="B127" s="11" t="s">
        <v>12</v>
      </c>
      <c r="C127" s="11" t="s">
        <v>668</v>
      </c>
      <c r="D127" s="11" t="s">
        <v>566</v>
      </c>
      <c r="E127" s="11" t="s">
        <v>669</v>
      </c>
      <c r="F127" s="11" t="s">
        <v>670</v>
      </c>
      <c r="G127" s="12" t="s">
        <v>59</v>
      </c>
      <c r="H127" s="12" t="s">
        <v>59</v>
      </c>
      <c r="I127" s="12" t="s">
        <v>508</v>
      </c>
      <c r="J127" s="11" t="s">
        <v>569</v>
      </c>
      <c r="K127" s="12" t="s">
        <v>62</v>
      </c>
      <c r="L127" s="12" t="s">
        <v>510</v>
      </c>
    </row>
    <row r="128" spans="1:12" ht="26.4" x14ac:dyDescent="0.3">
      <c r="A128" s="10" t="s">
        <v>671</v>
      </c>
      <c r="B128" s="11" t="s">
        <v>12</v>
      </c>
      <c r="C128" s="11" t="s">
        <v>672</v>
      </c>
      <c r="D128" s="11" t="s">
        <v>566</v>
      </c>
      <c r="E128" s="11" t="s">
        <v>673</v>
      </c>
      <c r="F128" s="11" t="s">
        <v>674</v>
      </c>
      <c r="G128" s="12" t="s">
        <v>59</v>
      </c>
      <c r="H128" s="12" t="s">
        <v>59</v>
      </c>
      <c r="I128" s="12" t="s">
        <v>508</v>
      </c>
      <c r="J128" s="11" t="s">
        <v>569</v>
      </c>
      <c r="K128" s="12" t="s">
        <v>62</v>
      </c>
      <c r="L128" s="12" t="s">
        <v>510</v>
      </c>
    </row>
    <row r="129" spans="1:12" ht="26.4" x14ac:dyDescent="0.3">
      <c r="A129" s="10" t="s">
        <v>675</v>
      </c>
      <c r="B129" s="11" t="s">
        <v>12</v>
      </c>
      <c r="C129" s="11" t="s">
        <v>676</v>
      </c>
      <c r="D129" s="11" t="s">
        <v>566</v>
      </c>
      <c r="E129" s="11" t="s">
        <v>677</v>
      </c>
      <c r="F129" s="11" t="s">
        <v>678</v>
      </c>
      <c r="G129" s="12" t="s">
        <v>59</v>
      </c>
      <c r="H129" s="12" t="s">
        <v>59</v>
      </c>
      <c r="I129" s="12" t="s">
        <v>508</v>
      </c>
      <c r="J129" s="11" t="s">
        <v>569</v>
      </c>
      <c r="K129" s="12" t="s">
        <v>62</v>
      </c>
      <c r="L129" s="12" t="s">
        <v>510</v>
      </c>
    </row>
    <row r="130" spans="1:12" ht="26.4" x14ac:dyDescent="0.3">
      <c r="A130" s="10" t="s">
        <v>679</v>
      </c>
      <c r="B130" s="11" t="s">
        <v>12</v>
      </c>
      <c r="C130" s="11" t="s">
        <v>680</v>
      </c>
      <c r="D130" s="11" t="s">
        <v>566</v>
      </c>
      <c r="E130" s="11" t="s">
        <v>681</v>
      </c>
      <c r="F130" s="11" t="s">
        <v>682</v>
      </c>
      <c r="G130" s="12" t="s">
        <v>59</v>
      </c>
      <c r="H130" s="12" t="s">
        <v>59</v>
      </c>
      <c r="I130" s="12" t="s">
        <v>508</v>
      </c>
      <c r="J130" s="11" t="s">
        <v>569</v>
      </c>
      <c r="K130" s="12" t="s">
        <v>62</v>
      </c>
      <c r="L130" s="12" t="s">
        <v>510</v>
      </c>
    </row>
    <row r="131" spans="1:12" ht="26.4" x14ac:dyDescent="0.3">
      <c r="A131" s="10" t="s">
        <v>683</v>
      </c>
      <c r="B131" s="11" t="s">
        <v>12</v>
      </c>
      <c r="C131" s="11" t="s">
        <v>684</v>
      </c>
      <c r="D131" s="11" t="s">
        <v>566</v>
      </c>
      <c r="E131" s="11" t="s">
        <v>685</v>
      </c>
      <c r="F131" s="11" t="s">
        <v>686</v>
      </c>
      <c r="G131" s="12" t="s">
        <v>59</v>
      </c>
      <c r="H131" s="12" t="s">
        <v>59</v>
      </c>
      <c r="I131" s="12" t="s">
        <v>508</v>
      </c>
      <c r="J131" s="11" t="s">
        <v>569</v>
      </c>
      <c r="K131" s="12" t="s">
        <v>62</v>
      </c>
      <c r="L131" s="12" t="s">
        <v>510</v>
      </c>
    </row>
    <row r="132" spans="1:12" ht="26.4" x14ac:dyDescent="0.3">
      <c r="A132" s="10" t="s">
        <v>687</v>
      </c>
      <c r="B132" s="11" t="s">
        <v>12</v>
      </c>
      <c r="C132" s="11" t="s">
        <v>688</v>
      </c>
      <c r="D132" s="11" t="s">
        <v>566</v>
      </c>
      <c r="E132" s="11" t="s">
        <v>689</v>
      </c>
      <c r="F132" s="11" t="s">
        <v>690</v>
      </c>
      <c r="G132" s="12" t="s">
        <v>59</v>
      </c>
      <c r="H132" s="12" t="s">
        <v>59</v>
      </c>
      <c r="I132" s="12" t="s">
        <v>508</v>
      </c>
      <c r="J132" s="11" t="s">
        <v>569</v>
      </c>
      <c r="K132" s="12" t="s">
        <v>62</v>
      </c>
      <c r="L132" s="12" t="s">
        <v>510</v>
      </c>
    </row>
    <row r="133" spans="1:12" ht="26.4" x14ac:dyDescent="0.3">
      <c r="A133" s="10" t="s">
        <v>691</v>
      </c>
      <c r="B133" s="11" t="s">
        <v>12</v>
      </c>
      <c r="C133" s="11" t="s">
        <v>692</v>
      </c>
      <c r="D133" s="11" t="s">
        <v>566</v>
      </c>
      <c r="E133" s="11" t="s">
        <v>693</v>
      </c>
      <c r="F133" s="11" t="s">
        <v>694</v>
      </c>
      <c r="G133" s="12" t="s">
        <v>59</v>
      </c>
      <c r="H133" s="12" t="s">
        <v>59</v>
      </c>
      <c r="I133" s="12" t="s">
        <v>508</v>
      </c>
      <c r="J133" s="11" t="s">
        <v>569</v>
      </c>
      <c r="K133" s="12" t="s">
        <v>62</v>
      </c>
      <c r="L133" s="12" t="s">
        <v>510</v>
      </c>
    </row>
    <row r="134" spans="1:12" ht="26.4" x14ac:dyDescent="0.3">
      <c r="A134" s="10" t="s">
        <v>695</v>
      </c>
      <c r="B134" s="11" t="s">
        <v>12</v>
      </c>
      <c r="C134" s="11" t="s">
        <v>696</v>
      </c>
      <c r="D134" s="11" t="s">
        <v>566</v>
      </c>
      <c r="E134" s="11" t="s">
        <v>697</v>
      </c>
      <c r="F134" s="11" t="s">
        <v>698</v>
      </c>
      <c r="G134" s="12" t="s">
        <v>59</v>
      </c>
      <c r="H134" s="12" t="s">
        <v>59</v>
      </c>
      <c r="I134" s="12" t="s">
        <v>508</v>
      </c>
      <c r="J134" s="11" t="s">
        <v>569</v>
      </c>
      <c r="K134" s="12" t="s">
        <v>62</v>
      </c>
      <c r="L134" s="12" t="s">
        <v>510</v>
      </c>
    </row>
    <row r="135" spans="1:12" ht="26.4" x14ac:dyDescent="0.3">
      <c r="A135" s="10" t="s">
        <v>699</v>
      </c>
      <c r="B135" s="11" t="s">
        <v>12</v>
      </c>
      <c r="C135" s="11" t="s">
        <v>700</v>
      </c>
      <c r="D135" s="11" t="s">
        <v>566</v>
      </c>
      <c r="E135" s="11" t="s">
        <v>701</v>
      </c>
      <c r="F135" s="11" t="s">
        <v>702</v>
      </c>
      <c r="G135" s="12" t="s">
        <v>59</v>
      </c>
      <c r="H135" s="12" t="s">
        <v>59</v>
      </c>
      <c r="I135" s="12" t="s">
        <v>508</v>
      </c>
      <c r="J135" s="11" t="s">
        <v>569</v>
      </c>
      <c r="K135" s="12" t="s">
        <v>62</v>
      </c>
      <c r="L135" s="12" t="s">
        <v>510</v>
      </c>
    </row>
    <row r="136" spans="1:12" ht="26.4" x14ac:dyDescent="0.3">
      <c r="A136" s="10" t="s">
        <v>703</v>
      </c>
      <c r="B136" s="11" t="s">
        <v>12</v>
      </c>
      <c r="C136" s="11" t="s">
        <v>704</v>
      </c>
      <c r="D136" s="11" t="s">
        <v>566</v>
      </c>
      <c r="E136" s="11" t="s">
        <v>705</v>
      </c>
      <c r="F136" s="11" t="s">
        <v>706</v>
      </c>
      <c r="G136" s="12" t="s">
        <v>59</v>
      </c>
      <c r="H136" s="12" t="s">
        <v>59</v>
      </c>
      <c r="I136" s="12" t="s">
        <v>508</v>
      </c>
      <c r="J136" s="11" t="s">
        <v>569</v>
      </c>
      <c r="K136" s="12" t="s">
        <v>62</v>
      </c>
      <c r="L136" s="12" t="s">
        <v>510</v>
      </c>
    </row>
    <row r="137" spans="1:12" ht="39.6" x14ac:dyDescent="0.3">
      <c r="A137" s="10" t="s">
        <v>707</v>
      </c>
      <c r="B137" s="11" t="s">
        <v>12</v>
      </c>
      <c r="C137" s="11" t="s">
        <v>708</v>
      </c>
      <c r="D137" s="11" t="s">
        <v>709</v>
      </c>
      <c r="E137" s="11" t="s">
        <v>710</v>
      </c>
      <c r="F137" s="11" t="s">
        <v>711</v>
      </c>
      <c r="G137" s="12" t="s">
        <v>59</v>
      </c>
      <c r="H137" s="12" t="s">
        <v>59</v>
      </c>
      <c r="I137" s="12" t="s">
        <v>508</v>
      </c>
      <c r="J137" s="11" t="s">
        <v>712</v>
      </c>
      <c r="K137" s="12" t="s">
        <v>62</v>
      </c>
      <c r="L137" s="12" t="s">
        <v>510</v>
      </c>
    </row>
    <row r="138" spans="1:12" ht="39.6" x14ac:dyDescent="0.3">
      <c r="A138" s="10" t="s">
        <v>713</v>
      </c>
      <c r="B138" s="11" t="s">
        <v>12</v>
      </c>
      <c r="C138" s="11" t="s">
        <v>714</v>
      </c>
      <c r="D138" s="11" t="s">
        <v>709</v>
      </c>
      <c r="E138" s="11" t="s">
        <v>715</v>
      </c>
      <c r="F138" s="11" t="s">
        <v>716</v>
      </c>
      <c r="G138" s="12" t="s">
        <v>59</v>
      </c>
      <c r="H138" s="12" t="s">
        <v>59</v>
      </c>
      <c r="I138" s="12" t="s">
        <v>508</v>
      </c>
      <c r="J138" s="11" t="s">
        <v>712</v>
      </c>
      <c r="K138" s="12" t="s">
        <v>62</v>
      </c>
      <c r="L138" s="12" t="s">
        <v>510</v>
      </c>
    </row>
    <row r="139" spans="1:12" ht="39.6" x14ac:dyDescent="0.3">
      <c r="A139" s="10" t="s">
        <v>717</v>
      </c>
      <c r="B139" s="11" t="s">
        <v>12</v>
      </c>
      <c r="C139" s="11" t="s">
        <v>718</v>
      </c>
      <c r="D139" s="11" t="s">
        <v>709</v>
      </c>
      <c r="E139" s="11" t="s">
        <v>719</v>
      </c>
      <c r="F139" s="11" t="s">
        <v>720</v>
      </c>
      <c r="G139" s="12" t="s">
        <v>59</v>
      </c>
      <c r="H139" s="12" t="s">
        <v>59</v>
      </c>
      <c r="I139" s="12" t="s">
        <v>508</v>
      </c>
      <c r="J139" s="11" t="s">
        <v>712</v>
      </c>
      <c r="K139" s="12" t="s">
        <v>62</v>
      </c>
      <c r="L139" s="12" t="s">
        <v>510</v>
      </c>
    </row>
    <row r="140" spans="1:12" ht="39.6" x14ac:dyDescent="0.3">
      <c r="A140" s="10" t="s">
        <v>721</v>
      </c>
      <c r="B140" s="11" t="s">
        <v>12</v>
      </c>
      <c r="C140" s="11" t="s">
        <v>722</v>
      </c>
      <c r="D140" s="11" t="s">
        <v>709</v>
      </c>
      <c r="E140" s="11" t="s">
        <v>723</v>
      </c>
      <c r="F140" s="11" t="s">
        <v>724</v>
      </c>
      <c r="G140" s="12" t="s">
        <v>59</v>
      </c>
      <c r="H140" s="12" t="s">
        <v>59</v>
      </c>
      <c r="I140" s="12" t="s">
        <v>508</v>
      </c>
      <c r="J140" s="11" t="s">
        <v>712</v>
      </c>
      <c r="K140" s="12" t="s">
        <v>62</v>
      </c>
      <c r="L140" s="12" t="s">
        <v>510</v>
      </c>
    </row>
    <row r="141" spans="1:12" ht="39.6" x14ac:dyDescent="0.3">
      <c r="A141" s="10" t="s">
        <v>725</v>
      </c>
      <c r="B141" s="11" t="s">
        <v>12</v>
      </c>
      <c r="C141" s="11" t="s">
        <v>726</v>
      </c>
      <c r="D141" s="11" t="s">
        <v>709</v>
      </c>
      <c r="E141" s="11" t="s">
        <v>727</v>
      </c>
      <c r="F141" s="11" t="s">
        <v>728</v>
      </c>
      <c r="G141" s="12" t="s">
        <v>59</v>
      </c>
      <c r="H141" s="12" t="s">
        <v>59</v>
      </c>
      <c r="I141" s="12" t="s">
        <v>508</v>
      </c>
      <c r="J141" s="11" t="s">
        <v>712</v>
      </c>
      <c r="K141" s="12" t="s">
        <v>62</v>
      </c>
      <c r="L141" s="12" t="s">
        <v>510</v>
      </c>
    </row>
    <row r="142" spans="1:12" ht="39.6" x14ac:dyDescent="0.3">
      <c r="A142" s="10" t="s">
        <v>729</v>
      </c>
      <c r="B142" s="11" t="s">
        <v>12</v>
      </c>
      <c r="C142" s="11" t="s">
        <v>730</v>
      </c>
      <c r="D142" s="11" t="s">
        <v>709</v>
      </c>
      <c r="E142" s="11" t="s">
        <v>731</v>
      </c>
      <c r="F142" s="11" t="s">
        <v>732</v>
      </c>
      <c r="G142" s="12" t="s">
        <v>59</v>
      </c>
      <c r="H142" s="12" t="s">
        <v>59</v>
      </c>
      <c r="I142" s="12" t="s">
        <v>508</v>
      </c>
      <c r="J142" s="11" t="s">
        <v>712</v>
      </c>
      <c r="K142" s="12" t="s">
        <v>62</v>
      </c>
      <c r="L142" s="12" t="s">
        <v>510</v>
      </c>
    </row>
    <row r="143" spans="1:12" ht="39.6" x14ac:dyDescent="0.3">
      <c r="A143" s="10" t="s">
        <v>733</v>
      </c>
      <c r="B143" s="11" t="s">
        <v>12</v>
      </c>
      <c r="C143" s="11" t="s">
        <v>734</v>
      </c>
      <c r="D143" s="11" t="s">
        <v>709</v>
      </c>
      <c r="E143" s="11" t="s">
        <v>735</v>
      </c>
      <c r="F143" s="11" t="s">
        <v>736</v>
      </c>
      <c r="G143" s="12" t="s">
        <v>59</v>
      </c>
      <c r="H143" s="12" t="s">
        <v>59</v>
      </c>
      <c r="I143" s="12" t="s">
        <v>508</v>
      </c>
      <c r="J143" s="11" t="s">
        <v>712</v>
      </c>
      <c r="K143" s="12" t="s">
        <v>62</v>
      </c>
      <c r="L143" s="12" t="s">
        <v>510</v>
      </c>
    </row>
    <row r="144" spans="1:12" ht="39.6" x14ac:dyDescent="0.3">
      <c r="A144" s="10" t="s">
        <v>737</v>
      </c>
      <c r="B144" s="11" t="s">
        <v>12</v>
      </c>
      <c r="C144" s="11" t="s">
        <v>738</v>
      </c>
      <c r="D144" s="11" t="s">
        <v>709</v>
      </c>
      <c r="E144" s="11" t="s">
        <v>739</v>
      </c>
      <c r="F144" s="11" t="s">
        <v>740</v>
      </c>
      <c r="G144" s="12" t="s">
        <v>59</v>
      </c>
      <c r="H144" s="12" t="s">
        <v>59</v>
      </c>
      <c r="I144" s="12" t="s">
        <v>508</v>
      </c>
      <c r="J144" s="11" t="s">
        <v>712</v>
      </c>
      <c r="K144" s="12" t="s">
        <v>62</v>
      </c>
      <c r="L144" s="12" t="s">
        <v>510</v>
      </c>
    </row>
    <row r="145" spans="1:12" ht="39.6" x14ac:dyDescent="0.3">
      <c r="A145" s="10" t="s">
        <v>741</v>
      </c>
      <c r="B145" s="11" t="s">
        <v>12</v>
      </c>
      <c r="C145" s="11" t="s">
        <v>742</v>
      </c>
      <c r="D145" s="11" t="s">
        <v>709</v>
      </c>
      <c r="E145" s="11" t="s">
        <v>743</v>
      </c>
      <c r="F145" s="11" t="s">
        <v>744</v>
      </c>
      <c r="G145" s="12" t="s">
        <v>59</v>
      </c>
      <c r="H145" s="12" t="s">
        <v>59</v>
      </c>
      <c r="I145" s="12" t="s">
        <v>508</v>
      </c>
      <c r="J145" s="11" t="s">
        <v>712</v>
      </c>
      <c r="K145" s="12" t="s">
        <v>62</v>
      </c>
      <c r="L145" s="12" t="s">
        <v>510</v>
      </c>
    </row>
    <row r="146" spans="1:12" ht="39.6" x14ac:dyDescent="0.3">
      <c r="A146" s="10" t="s">
        <v>745</v>
      </c>
      <c r="B146" s="11" t="s">
        <v>12</v>
      </c>
      <c r="C146" s="11" t="s">
        <v>746</v>
      </c>
      <c r="D146" s="11" t="s">
        <v>709</v>
      </c>
      <c r="E146" s="11" t="s">
        <v>747</v>
      </c>
      <c r="F146" s="11" t="s">
        <v>748</v>
      </c>
      <c r="G146" s="12" t="s">
        <v>59</v>
      </c>
      <c r="H146" s="12" t="s">
        <v>59</v>
      </c>
      <c r="I146" s="12" t="s">
        <v>508</v>
      </c>
      <c r="J146" s="11" t="s">
        <v>712</v>
      </c>
      <c r="K146" s="12" t="s">
        <v>62</v>
      </c>
      <c r="L146" s="12" t="s">
        <v>510</v>
      </c>
    </row>
    <row r="147" spans="1:12" ht="39.6" x14ac:dyDescent="0.3">
      <c r="A147" s="10" t="s">
        <v>749</v>
      </c>
      <c r="B147" s="11" t="s">
        <v>12</v>
      </c>
      <c r="C147" s="11" t="s">
        <v>750</v>
      </c>
      <c r="D147" s="11" t="s">
        <v>709</v>
      </c>
      <c r="E147" s="11" t="s">
        <v>751</v>
      </c>
      <c r="F147" s="11" t="s">
        <v>752</v>
      </c>
      <c r="G147" s="12" t="s">
        <v>59</v>
      </c>
      <c r="H147" s="12" t="s">
        <v>59</v>
      </c>
      <c r="I147" s="12" t="s">
        <v>508</v>
      </c>
      <c r="J147" s="11" t="s">
        <v>712</v>
      </c>
      <c r="K147" s="12" t="s">
        <v>62</v>
      </c>
      <c r="L147" s="12" t="s">
        <v>510</v>
      </c>
    </row>
    <row r="148" spans="1:12" ht="39.6" x14ac:dyDescent="0.3">
      <c r="A148" s="10" t="s">
        <v>753</v>
      </c>
      <c r="B148" s="11" t="s">
        <v>12</v>
      </c>
      <c r="C148" s="11" t="s">
        <v>754</v>
      </c>
      <c r="D148" s="11" t="s">
        <v>709</v>
      </c>
      <c r="E148" s="11" t="s">
        <v>755</v>
      </c>
      <c r="F148" s="11" t="s">
        <v>756</v>
      </c>
      <c r="G148" s="12" t="s">
        <v>59</v>
      </c>
      <c r="H148" s="12" t="s">
        <v>59</v>
      </c>
      <c r="I148" s="12" t="s">
        <v>508</v>
      </c>
      <c r="J148" s="11" t="s">
        <v>712</v>
      </c>
      <c r="K148" s="12" t="s">
        <v>62</v>
      </c>
      <c r="L148" s="12" t="s">
        <v>510</v>
      </c>
    </row>
    <row r="149" spans="1:12" ht="39.6" x14ac:dyDescent="0.3">
      <c r="A149" s="10" t="s">
        <v>757</v>
      </c>
      <c r="B149" s="11" t="s">
        <v>12</v>
      </c>
      <c r="C149" s="11" t="s">
        <v>758</v>
      </c>
      <c r="D149" s="11" t="s">
        <v>709</v>
      </c>
      <c r="E149" s="11" t="s">
        <v>759</v>
      </c>
      <c r="F149" s="11" t="s">
        <v>760</v>
      </c>
      <c r="G149" s="12" t="s">
        <v>59</v>
      </c>
      <c r="H149" s="12" t="s">
        <v>59</v>
      </c>
      <c r="I149" s="12" t="s">
        <v>508</v>
      </c>
      <c r="J149" s="11" t="s">
        <v>712</v>
      </c>
      <c r="K149" s="12" t="s">
        <v>62</v>
      </c>
      <c r="L149" s="12" t="s">
        <v>510</v>
      </c>
    </row>
    <row r="150" spans="1:12" ht="39.6" x14ac:dyDescent="0.3">
      <c r="A150" s="10" t="s">
        <v>761</v>
      </c>
      <c r="B150" s="11" t="s">
        <v>12</v>
      </c>
      <c r="C150" s="11" t="s">
        <v>762</v>
      </c>
      <c r="D150" s="11" t="s">
        <v>709</v>
      </c>
      <c r="E150" s="11" t="s">
        <v>763</v>
      </c>
      <c r="F150" s="11" t="s">
        <v>764</v>
      </c>
      <c r="G150" s="12" t="s">
        <v>59</v>
      </c>
      <c r="H150" s="12" t="s">
        <v>59</v>
      </c>
      <c r="I150" s="12" t="s">
        <v>508</v>
      </c>
      <c r="J150" s="11" t="s">
        <v>712</v>
      </c>
      <c r="K150" s="12" t="s">
        <v>62</v>
      </c>
      <c r="L150" s="12" t="s">
        <v>510</v>
      </c>
    </row>
    <row r="151" spans="1:12" ht="39.6" x14ac:dyDescent="0.3">
      <c r="A151" s="10" t="s">
        <v>765</v>
      </c>
      <c r="B151" s="11" t="s">
        <v>12</v>
      </c>
      <c r="C151" s="11" t="s">
        <v>766</v>
      </c>
      <c r="D151" s="11" t="s">
        <v>709</v>
      </c>
      <c r="E151" s="11" t="s">
        <v>767</v>
      </c>
      <c r="F151" s="11" t="s">
        <v>768</v>
      </c>
      <c r="G151" s="12" t="s">
        <v>59</v>
      </c>
      <c r="H151" s="12" t="s">
        <v>59</v>
      </c>
      <c r="I151" s="12" t="s">
        <v>508</v>
      </c>
      <c r="J151" s="11" t="s">
        <v>712</v>
      </c>
      <c r="K151" s="12" t="s">
        <v>62</v>
      </c>
      <c r="L151" s="12" t="s">
        <v>510</v>
      </c>
    </row>
    <row r="152" spans="1:12" ht="39.6" x14ac:dyDescent="0.3">
      <c r="A152" s="10" t="s">
        <v>769</v>
      </c>
      <c r="B152" s="11" t="s">
        <v>12</v>
      </c>
      <c r="C152" s="11" t="s">
        <v>770</v>
      </c>
      <c r="D152" s="11" t="s">
        <v>709</v>
      </c>
      <c r="E152" s="11" t="s">
        <v>771</v>
      </c>
      <c r="F152" s="11" t="s">
        <v>772</v>
      </c>
      <c r="G152" s="12" t="s">
        <v>59</v>
      </c>
      <c r="H152" s="12" t="s">
        <v>59</v>
      </c>
      <c r="I152" s="12" t="s">
        <v>508</v>
      </c>
      <c r="J152" s="11" t="s">
        <v>712</v>
      </c>
      <c r="K152" s="12" t="s">
        <v>62</v>
      </c>
      <c r="L152" s="12" t="s">
        <v>510</v>
      </c>
    </row>
    <row r="153" spans="1:12" ht="39.6" x14ac:dyDescent="0.3">
      <c r="A153" s="10" t="s">
        <v>773</v>
      </c>
      <c r="B153" s="11" t="s">
        <v>12</v>
      </c>
      <c r="C153" s="11" t="s">
        <v>774</v>
      </c>
      <c r="D153" s="11" t="s">
        <v>709</v>
      </c>
      <c r="E153" s="11" t="s">
        <v>775</v>
      </c>
      <c r="F153" s="11" t="s">
        <v>776</v>
      </c>
      <c r="G153" s="12" t="s">
        <v>59</v>
      </c>
      <c r="H153" s="12" t="s">
        <v>59</v>
      </c>
      <c r="I153" s="12" t="s">
        <v>508</v>
      </c>
      <c r="J153" s="11" t="s">
        <v>712</v>
      </c>
      <c r="K153" s="12" t="s">
        <v>62</v>
      </c>
      <c r="L153" s="12" t="s">
        <v>510</v>
      </c>
    </row>
    <row r="154" spans="1:12" ht="39.6" x14ac:dyDescent="0.3">
      <c r="A154" s="10" t="s">
        <v>777</v>
      </c>
      <c r="B154" s="11" t="s">
        <v>12</v>
      </c>
      <c r="C154" s="11" t="s">
        <v>778</v>
      </c>
      <c r="D154" s="11" t="s">
        <v>709</v>
      </c>
      <c r="E154" s="11" t="s">
        <v>779</v>
      </c>
      <c r="F154" s="11" t="s">
        <v>780</v>
      </c>
      <c r="G154" s="12" t="s">
        <v>59</v>
      </c>
      <c r="H154" s="12" t="s">
        <v>59</v>
      </c>
      <c r="I154" s="12" t="s">
        <v>508</v>
      </c>
      <c r="J154" s="11" t="s">
        <v>712</v>
      </c>
      <c r="K154" s="12" t="s">
        <v>62</v>
      </c>
      <c r="L154" s="12" t="s">
        <v>510</v>
      </c>
    </row>
    <row r="155" spans="1:12" ht="26.4" x14ac:dyDescent="0.3">
      <c r="A155" s="10" t="s">
        <v>781</v>
      </c>
      <c r="B155" s="11" t="s">
        <v>12</v>
      </c>
      <c r="C155" s="11" t="s">
        <v>782</v>
      </c>
      <c r="D155" s="11" t="s">
        <v>783</v>
      </c>
      <c r="E155" s="11" t="s">
        <v>784</v>
      </c>
      <c r="F155" s="11" t="s">
        <v>785</v>
      </c>
      <c r="G155" s="12" t="s">
        <v>59</v>
      </c>
      <c r="H155" s="12" t="s">
        <v>59</v>
      </c>
      <c r="I155" s="12" t="s">
        <v>508</v>
      </c>
      <c r="J155" s="11" t="s">
        <v>786</v>
      </c>
      <c r="K155" s="12" t="s">
        <v>62</v>
      </c>
      <c r="L155" s="12" t="s">
        <v>510</v>
      </c>
    </row>
    <row r="156" spans="1:12" ht="26.4" x14ac:dyDescent="0.3">
      <c r="A156" s="10" t="s">
        <v>787</v>
      </c>
      <c r="B156" s="11" t="s">
        <v>12</v>
      </c>
      <c r="C156" s="11" t="s">
        <v>788</v>
      </c>
      <c r="D156" s="11" t="s">
        <v>783</v>
      </c>
      <c r="E156" s="11" t="s">
        <v>789</v>
      </c>
      <c r="F156" s="11" t="s">
        <v>785</v>
      </c>
      <c r="G156" s="12" t="s">
        <v>59</v>
      </c>
      <c r="H156" s="12" t="s">
        <v>59</v>
      </c>
      <c r="I156" s="12" t="s">
        <v>508</v>
      </c>
      <c r="J156" s="11" t="s">
        <v>786</v>
      </c>
      <c r="K156" s="12" t="s">
        <v>62</v>
      </c>
      <c r="L156" s="12" t="s">
        <v>510</v>
      </c>
    </row>
    <row r="157" spans="1:12" ht="26.4" x14ac:dyDescent="0.3">
      <c r="A157" s="10" t="s">
        <v>790</v>
      </c>
      <c r="B157" s="11" t="s">
        <v>12</v>
      </c>
      <c r="C157" s="11" t="s">
        <v>791</v>
      </c>
      <c r="D157" s="11" t="s">
        <v>783</v>
      </c>
      <c r="E157" s="11" t="s">
        <v>792</v>
      </c>
      <c r="F157" s="11" t="s">
        <v>785</v>
      </c>
      <c r="G157" s="12" t="s">
        <v>59</v>
      </c>
      <c r="H157" s="12" t="s">
        <v>59</v>
      </c>
      <c r="I157" s="12" t="s">
        <v>508</v>
      </c>
      <c r="J157" s="11" t="s">
        <v>786</v>
      </c>
      <c r="K157" s="12" t="s">
        <v>62</v>
      </c>
      <c r="L157" s="12" t="s">
        <v>510</v>
      </c>
    </row>
    <row r="158" spans="1:12" ht="26.4" x14ac:dyDescent="0.3">
      <c r="A158" s="10" t="s">
        <v>793</v>
      </c>
      <c r="B158" s="11" t="s">
        <v>12</v>
      </c>
      <c r="C158" s="11" t="s">
        <v>794</v>
      </c>
      <c r="D158" s="11" t="s">
        <v>783</v>
      </c>
      <c r="E158" s="11" t="s">
        <v>795</v>
      </c>
      <c r="F158" s="11" t="s">
        <v>785</v>
      </c>
      <c r="G158" s="12" t="s">
        <v>59</v>
      </c>
      <c r="H158" s="12" t="s">
        <v>59</v>
      </c>
      <c r="I158" s="12" t="s">
        <v>508</v>
      </c>
      <c r="J158" s="11" t="s">
        <v>786</v>
      </c>
      <c r="K158" s="12" t="s">
        <v>62</v>
      </c>
      <c r="L158" s="12" t="s">
        <v>510</v>
      </c>
    </row>
    <row r="159" spans="1:12" ht="39.6" x14ac:dyDescent="0.3">
      <c r="A159" s="10" t="s">
        <v>796</v>
      </c>
      <c r="B159" s="11" t="s">
        <v>12</v>
      </c>
      <c r="C159" s="11" t="s">
        <v>797</v>
      </c>
      <c r="D159" s="11" t="s">
        <v>798</v>
      </c>
      <c r="E159" s="11" t="s">
        <v>799</v>
      </c>
      <c r="F159" s="11" t="s">
        <v>800</v>
      </c>
      <c r="G159" s="12" t="s">
        <v>59</v>
      </c>
      <c r="H159" s="12" t="s">
        <v>59</v>
      </c>
      <c r="I159" s="12" t="s">
        <v>508</v>
      </c>
      <c r="J159" s="11" t="s">
        <v>801</v>
      </c>
      <c r="K159" s="12" t="s">
        <v>62</v>
      </c>
      <c r="L159" s="12" t="s">
        <v>510</v>
      </c>
    </row>
    <row r="160" spans="1:12" ht="39.6" x14ac:dyDescent="0.3">
      <c r="A160" s="10" t="s">
        <v>802</v>
      </c>
      <c r="B160" s="11" t="s">
        <v>12</v>
      </c>
      <c r="C160" s="11" t="s">
        <v>797</v>
      </c>
      <c r="D160" s="11" t="s">
        <v>798</v>
      </c>
      <c r="E160" s="11" t="s">
        <v>803</v>
      </c>
      <c r="F160" s="11" t="s">
        <v>804</v>
      </c>
      <c r="G160" s="12" t="s">
        <v>59</v>
      </c>
      <c r="H160" s="12" t="s">
        <v>59</v>
      </c>
      <c r="I160" s="12" t="s">
        <v>508</v>
      </c>
      <c r="J160" s="11" t="s">
        <v>801</v>
      </c>
      <c r="K160" s="12" t="s">
        <v>62</v>
      </c>
      <c r="L160" s="12" t="s">
        <v>510</v>
      </c>
    </row>
    <row r="161" spans="1:12" ht="39.6" x14ac:dyDescent="0.3">
      <c r="A161" s="10" t="s">
        <v>805</v>
      </c>
      <c r="B161" s="11" t="s">
        <v>12</v>
      </c>
      <c r="C161" s="11" t="s">
        <v>797</v>
      </c>
      <c r="D161" s="11" t="s">
        <v>798</v>
      </c>
      <c r="E161" s="11" t="s">
        <v>806</v>
      </c>
      <c r="F161" s="11" t="s">
        <v>804</v>
      </c>
      <c r="G161" s="12" t="s">
        <v>59</v>
      </c>
      <c r="H161" s="12" t="s">
        <v>59</v>
      </c>
      <c r="I161" s="12" t="s">
        <v>508</v>
      </c>
      <c r="J161" s="11" t="s">
        <v>801</v>
      </c>
      <c r="K161" s="12" t="s">
        <v>62</v>
      </c>
      <c r="L161" s="12" t="s">
        <v>510</v>
      </c>
    </row>
    <row r="162" spans="1:12" ht="39.6" x14ac:dyDescent="0.3">
      <c r="A162" s="10" t="s">
        <v>807</v>
      </c>
      <c r="B162" s="11" t="s">
        <v>12</v>
      </c>
      <c r="C162" s="11" t="s">
        <v>797</v>
      </c>
      <c r="D162" s="11" t="s">
        <v>798</v>
      </c>
      <c r="E162" s="11" t="s">
        <v>808</v>
      </c>
      <c r="F162" s="11" t="s">
        <v>804</v>
      </c>
      <c r="G162" s="12" t="s">
        <v>59</v>
      </c>
      <c r="H162" s="12" t="s">
        <v>59</v>
      </c>
      <c r="I162" s="12" t="s">
        <v>508</v>
      </c>
      <c r="J162" s="11" t="s">
        <v>801</v>
      </c>
      <c r="K162" s="12" t="s">
        <v>62</v>
      </c>
      <c r="L162" s="12" t="s">
        <v>510</v>
      </c>
    </row>
    <row r="163" spans="1:12" ht="39.6" x14ac:dyDescent="0.3">
      <c r="A163" s="10" t="s">
        <v>809</v>
      </c>
      <c r="B163" s="11" t="s">
        <v>12</v>
      </c>
      <c r="C163" s="11" t="s">
        <v>797</v>
      </c>
      <c r="D163" s="11" t="s">
        <v>798</v>
      </c>
      <c r="E163" s="11" t="s">
        <v>810</v>
      </c>
      <c r="F163" s="11" t="s">
        <v>804</v>
      </c>
      <c r="G163" s="12" t="s">
        <v>59</v>
      </c>
      <c r="H163" s="12" t="s">
        <v>59</v>
      </c>
      <c r="I163" s="12" t="s">
        <v>508</v>
      </c>
      <c r="J163" s="11" t="s">
        <v>801</v>
      </c>
      <c r="K163" s="12" t="s">
        <v>62</v>
      </c>
      <c r="L163" s="12" t="s">
        <v>510</v>
      </c>
    </row>
    <row r="164" spans="1:12" ht="39.6" x14ac:dyDescent="0.3">
      <c r="A164" s="10" t="s">
        <v>811</v>
      </c>
      <c r="B164" s="11" t="s">
        <v>12</v>
      </c>
      <c r="C164" s="11" t="s">
        <v>797</v>
      </c>
      <c r="D164" s="11" t="s">
        <v>798</v>
      </c>
      <c r="E164" s="11" t="s">
        <v>812</v>
      </c>
      <c r="F164" s="11" t="s">
        <v>804</v>
      </c>
      <c r="G164" s="12" t="s">
        <v>59</v>
      </c>
      <c r="H164" s="12" t="s">
        <v>59</v>
      </c>
      <c r="I164" s="12" t="s">
        <v>508</v>
      </c>
      <c r="J164" s="11" t="s">
        <v>801</v>
      </c>
      <c r="K164" s="12" t="s">
        <v>62</v>
      </c>
      <c r="L164" s="12" t="s">
        <v>510</v>
      </c>
    </row>
    <row r="165" spans="1:12" ht="39.6" x14ac:dyDescent="0.3">
      <c r="A165" s="10" t="s">
        <v>813</v>
      </c>
      <c r="B165" s="11" t="s">
        <v>12</v>
      </c>
      <c r="C165" s="11" t="s">
        <v>797</v>
      </c>
      <c r="D165" s="11" t="s">
        <v>798</v>
      </c>
      <c r="E165" s="11" t="s">
        <v>814</v>
      </c>
      <c r="F165" s="11" t="s">
        <v>815</v>
      </c>
      <c r="G165" s="12" t="s">
        <v>59</v>
      </c>
      <c r="H165" s="12" t="s">
        <v>59</v>
      </c>
      <c r="I165" s="12" t="s">
        <v>508</v>
      </c>
      <c r="J165" s="11" t="s">
        <v>801</v>
      </c>
      <c r="K165" s="12" t="s">
        <v>62</v>
      </c>
      <c r="L165" s="12" t="s">
        <v>510</v>
      </c>
    </row>
    <row r="166" spans="1:12" ht="39.6" x14ac:dyDescent="0.3">
      <c r="A166" s="10" t="s">
        <v>816</v>
      </c>
      <c r="B166" s="11" t="s">
        <v>12</v>
      </c>
      <c r="C166" s="11" t="s">
        <v>797</v>
      </c>
      <c r="D166" s="11" t="s">
        <v>798</v>
      </c>
      <c r="E166" s="11" t="s">
        <v>817</v>
      </c>
      <c r="F166" s="11" t="s">
        <v>818</v>
      </c>
      <c r="G166" s="12" t="s">
        <v>59</v>
      </c>
      <c r="H166" s="12" t="s">
        <v>59</v>
      </c>
      <c r="I166" s="12" t="s">
        <v>508</v>
      </c>
      <c r="J166" s="11" t="s">
        <v>801</v>
      </c>
      <c r="K166" s="12" t="s">
        <v>62</v>
      </c>
      <c r="L166" s="12" t="s">
        <v>510</v>
      </c>
    </row>
    <row r="167" spans="1:12" ht="39.6" x14ac:dyDescent="0.3">
      <c r="A167" s="10" t="s">
        <v>819</v>
      </c>
      <c r="B167" s="11" t="s">
        <v>12</v>
      </c>
      <c r="C167" s="11" t="s">
        <v>797</v>
      </c>
      <c r="D167" s="11" t="s">
        <v>798</v>
      </c>
      <c r="E167" s="11" t="s">
        <v>820</v>
      </c>
      <c r="F167" s="11" t="s">
        <v>804</v>
      </c>
      <c r="G167" s="12" t="s">
        <v>59</v>
      </c>
      <c r="H167" s="12" t="s">
        <v>59</v>
      </c>
      <c r="I167" s="12" t="s">
        <v>508</v>
      </c>
      <c r="J167" s="11" t="s">
        <v>801</v>
      </c>
      <c r="K167" s="12" t="s">
        <v>62</v>
      </c>
      <c r="L167" s="12" t="s">
        <v>510</v>
      </c>
    </row>
    <row r="168" spans="1:12" ht="39.6" x14ac:dyDescent="0.3">
      <c r="A168" s="10" t="s">
        <v>821</v>
      </c>
      <c r="B168" s="11" t="s">
        <v>12</v>
      </c>
      <c r="C168" s="11" t="s">
        <v>797</v>
      </c>
      <c r="D168" s="11" t="s">
        <v>798</v>
      </c>
      <c r="E168" s="11" t="s">
        <v>822</v>
      </c>
      <c r="F168" s="11" t="s">
        <v>815</v>
      </c>
      <c r="G168" s="12" t="s">
        <v>59</v>
      </c>
      <c r="H168" s="12" t="s">
        <v>59</v>
      </c>
      <c r="I168" s="12" t="s">
        <v>508</v>
      </c>
      <c r="J168" s="11" t="s">
        <v>801</v>
      </c>
      <c r="K168" s="12" t="s">
        <v>62</v>
      </c>
      <c r="L168" s="12" t="s">
        <v>510</v>
      </c>
    </row>
    <row r="169" spans="1:12" ht="26.4" x14ac:dyDescent="0.3">
      <c r="A169" s="10" t="s">
        <v>823</v>
      </c>
      <c r="B169" s="11" t="s">
        <v>12</v>
      </c>
      <c r="C169" s="11" t="s">
        <v>824</v>
      </c>
      <c r="D169" s="11" t="s">
        <v>825</v>
      </c>
      <c r="E169" s="11" t="s">
        <v>826</v>
      </c>
      <c r="F169" s="11" t="s">
        <v>827</v>
      </c>
      <c r="G169" s="12" t="s">
        <v>59</v>
      </c>
      <c r="H169" s="12" t="s">
        <v>59</v>
      </c>
      <c r="I169" s="12" t="s">
        <v>508</v>
      </c>
      <c r="J169" s="11" t="s">
        <v>828</v>
      </c>
      <c r="K169" s="12" t="s">
        <v>62</v>
      </c>
      <c r="L169" s="12" t="s">
        <v>510</v>
      </c>
    </row>
    <row r="170" spans="1:12" ht="26.4" x14ac:dyDescent="0.3">
      <c r="A170" s="10" t="s">
        <v>829</v>
      </c>
      <c r="B170" s="11" t="s">
        <v>12</v>
      </c>
      <c r="C170" s="11" t="s">
        <v>830</v>
      </c>
      <c r="D170" s="11" t="s">
        <v>825</v>
      </c>
      <c r="E170" s="11" t="s">
        <v>831</v>
      </c>
      <c r="F170" s="11" t="s">
        <v>832</v>
      </c>
      <c r="G170" s="12" t="s">
        <v>59</v>
      </c>
      <c r="H170" s="12" t="s">
        <v>59</v>
      </c>
      <c r="I170" s="12" t="s">
        <v>508</v>
      </c>
      <c r="J170" s="11" t="s">
        <v>828</v>
      </c>
      <c r="K170" s="12" t="s">
        <v>62</v>
      </c>
      <c r="L170" s="12" t="s">
        <v>510</v>
      </c>
    </row>
    <row r="171" spans="1:12" ht="26.4" x14ac:dyDescent="0.3">
      <c r="A171" s="10" t="s">
        <v>833</v>
      </c>
      <c r="B171" s="11" t="s">
        <v>12</v>
      </c>
      <c r="C171" s="11" t="s">
        <v>834</v>
      </c>
      <c r="D171" s="11" t="s">
        <v>825</v>
      </c>
      <c r="E171" s="11" t="s">
        <v>835</v>
      </c>
      <c r="F171" s="11" t="s">
        <v>836</v>
      </c>
      <c r="G171" s="12" t="s">
        <v>59</v>
      </c>
      <c r="H171" s="12" t="s">
        <v>59</v>
      </c>
      <c r="I171" s="12" t="s">
        <v>508</v>
      </c>
      <c r="J171" s="11" t="s">
        <v>828</v>
      </c>
      <c r="K171" s="12" t="s">
        <v>62</v>
      </c>
      <c r="L171" s="12" t="s">
        <v>510</v>
      </c>
    </row>
    <row r="172" spans="1:12" ht="26.4" x14ac:dyDescent="0.3">
      <c r="A172" s="10" t="s">
        <v>837</v>
      </c>
      <c r="B172" s="11" t="s">
        <v>12</v>
      </c>
      <c r="C172" s="11" t="s">
        <v>838</v>
      </c>
      <c r="D172" s="11" t="s">
        <v>825</v>
      </c>
      <c r="E172" s="11" t="s">
        <v>839</v>
      </c>
      <c r="F172" s="11" t="s">
        <v>840</v>
      </c>
      <c r="G172" s="12" t="s">
        <v>59</v>
      </c>
      <c r="H172" s="12" t="s">
        <v>59</v>
      </c>
      <c r="I172" s="12" t="s">
        <v>508</v>
      </c>
      <c r="J172" s="11" t="s">
        <v>828</v>
      </c>
      <c r="K172" s="12" t="s">
        <v>62</v>
      </c>
      <c r="L172" s="12" t="s">
        <v>510</v>
      </c>
    </row>
    <row r="173" spans="1:12" ht="26.4" x14ac:dyDescent="0.3">
      <c r="A173" s="10" t="s">
        <v>841</v>
      </c>
      <c r="B173" s="11" t="s">
        <v>12</v>
      </c>
      <c r="C173" s="11" t="s">
        <v>842</v>
      </c>
      <c r="D173" s="11" t="s">
        <v>843</v>
      </c>
      <c r="E173" s="11" t="s">
        <v>844</v>
      </c>
      <c r="F173" s="11" t="s">
        <v>845</v>
      </c>
      <c r="G173" s="12" t="s">
        <v>59</v>
      </c>
      <c r="H173" s="12" t="s">
        <v>59</v>
      </c>
      <c r="I173" s="12" t="s">
        <v>508</v>
      </c>
      <c r="J173" s="11" t="s">
        <v>846</v>
      </c>
      <c r="K173" s="12" t="s">
        <v>62</v>
      </c>
      <c r="L173" s="12" t="s">
        <v>510</v>
      </c>
    </row>
    <row r="174" spans="1:12" ht="26.4" x14ac:dyDescent="0.3">
      <c r="A174" s="10" t="s">
        <v>847</v>
      </c>
      <c r="B174" s="11" t="s">
        <v>12</v>
      </c>
      <c r="C174" s="11" t="s">
        <v>848</v>
      </c>
      <c r="D174" s="11" t="s">
        <v>843</v>
      </c>
      <c r="E174" s="11" t="s">
        <v>849</v>
      </c>
      <c r="F174" s="11" t="s">
        <v>850</v>
      </c>
      <c r="G174" s="12" t="s">
        <v>59</v>
      </c>
      <c r="H174" s="12" t="s">
        <v>59</v>
      </c>
      <c r="I174" s="12" t="s">
        <v>508</v>
      </c>
      <c r="J174" s="11" t="s">
        <v>846</v>
      </c>
      <c r="K174" s="12" t="s">
        <v>62</v>
      </c>
      <c r="L174" s="12" t="s">
        <v>510</v>
      </c>
    </row>
    <row r="175" spans="1:12" ht="26.4" x14ac:dyDescent="0.3">
      <c r="A175" s="10" t="s">
        <v>851</v>
      </c>
      <c r="B175" s="11" t="s">
        <v>12</v>
      </c>
      <c r="C175" s="11" t="s">
        <v>852</v>
      </c>
      <c r="D175" s="11" t="s">
        <v>843</v>
      </c>
      <c r="E175" s="11" t="s">
        <v>853</v>
      </c>
      <c r="F175" s="11" t="s">
        <v>854</v>
      </c>
      <c r="G175" s="12" t="s">
        <v>59</v>
      </c>
      <c r="H175" s="12" t="s">
        <v>59</v>
      </c>
      <c r="I175" s="12" t="s">
        <v>508</v>
      </c>
      <c r="J175" s="11" t="s">
        <v>846</v>
      </c>
      <c r="K175" s="12" t="s">
        <v>62</v>
      </c>
      <c r="L175" s="12" t="s">
        <v>510</v>
      </c>
    </row>
    <row r="176" spans="1:12" ht="26.4" x14ac:dyDescent="0.3">
      <c r="A176" s="10" t="s">
        <v>855</v>
      </c>
      <c r="B176" s="11" t="s">
        <v>12</v>
      </c>
      <c r="C176" s="11" t="s">
        <v>856</v>
      </c>
      <c r="D176" s="11" t="s">
        <v>843</v>
      </c>
      <c r="E176" s="11" t="s">
        <v>857</v>
      </c>
      <c r="F176" s="11" t="s">
        <v>854</v>
      </c>
      <c r="G176" s="12" t="s">
        <v>59</v>
      </c>
      <c r="H176" s="12" t="s">
        <v>59</v>
      </c>
      <c r="I176" s="12" t="s">
        <v>508</v>
      </c>
      <c r="J176" s="11" t="s">
        <v>846</v>
      </c>
      <c r="K176" s="12" t="s">
        <v>62</v>
      </c>
      <c r="L176" s="12" t="s">
        <v>510</v>
      </c>
    </row>
    <row r="177" spans="1:12" ht="26.4" x14ac:dyDescent="0.3">
      <c r="A177" s="10" t="s">
        <v>858</v>
      </c>
      <c r="B177" s="11" t="s">
        <v>12</v>
      </c>
      <c r="C177" s="11" t="s">
        <v>859</v>
      </c>
      <c r="D177" s="11" t="s">
        <v>843</v>
      </c>
      <c r="E177" s="11" t="s">
        <v>860</v>
      </c>
      <c r="F177" s="11" t="s">
        <v>861</v>
      </c>
      <c r="G177" s="12" t="s">
        <v>59</v>
      </c>
      <c r="H177" s="12" t="s">
        <v>59</v>
      </c>
      <c r="I177" s="12" t="s">
        <v>508</v>
      </c>
      <c r="J177" s="11" t="s">
        <v>846</v>
      </c>
      <c r="K177" s="12" t="s">
        <v>62</v>
      </c>
      <c r="L177" s="12" t="s">
        <v>510</v>
      </c>
    </row>
    <row r="178" spans="1:12" ht="26.4" x14ac:dyDescent="0.3">
      <c r="A178" s="10" t="s">
        <v>862</v>
      </c>
      <c r="B178" s="11" t="s">
        <v>12</v>
      </c>
      <c r="C178" s="11" t="s">
        <v>863</v>
      </c>
      <c r="D178" s="11" t="s">
        <v>843</v>
      </c>
      <c r="E178" s="11" t="s">
        <v>864</v>
      </c>
      <c r="F178" s="11" t="s">
        <v>865</v>
      </c>
      <c r="G178" s="12" t="s">
        <v>59</v>
      </c>
      <c r="H178" s="12" t="s">
        <v>59</v>
      </c>
      <c r="I178" s="12" t="s">
        <v>508</v>
      </c>
      <c r="J178" s="11" t="s">
        <v>846</v>
      </c>
      <c r="K178" s="12" t="s">
        <v>62</v>
      </c>
      <c r="L178" s="12" t="s">
        <v>510</v>
      </c>
    </row>
    <row r="179" spans="1:12" ht="26.4" x14ac:dyDescent="0.3">
      <c r="A179" s="10" t="s">
        <v>866</v>
      </c>
      <c r="B179" s="11" t="s">
        <v>12</v>
      </c>
      <c r="C179" s="11" t="s">
        <v>867</v>
      </c>
      <c r="D179" s="11" t="s">
        <v>843</v>
      </c>
      <c r="E179" s="11" t="s">
        <v>868</v>
      </c>
      <c r="F179" s="11" t="s">
        <v>869</v>
      </c>
      <c r="G179" s="12" t="s">
        <v>59</v>
      </c>
      <c r="H179" s="12" t="s">
        <v>59</v>
      </c>
      <c r="I179" s="12" t="s">
        <v>508</v>
      </c>
      <c r="J179" s="11" t="s">
        <v>846</v>
      </c>
      <c r="K179" s="12" t="s">
        <v>62</v>
      </c>
      <c r="L179" s="12" t="s">
        <v>510</v>
      </c>
    </row>
    <row r="180" spans="1:12" ht="26.4" x14ac:dyDescent="0.3">
      <c r="A180" s="10" t="s">
        <v>870</v>
      </c>
      <c r="B180" s="11" t="s">
        <v>12</v>
      </c>
      <c r="C180" s="11" t="s">
        <v>871</v>
      </c>
      <c r="D180" s="11" t="s">
        <v>843</v>
      </c>
      <c r="E180" s="11" t="s">
        <v>872</v>
      </c>
      <c r="F180" s="11" t="s">
        <v>873</v>
      </c>
      <c r="G180" s="12" t="s">
        <v>59</v>
      </c>
      <c r="H180" s="12" t="s">
        <v>59</v>
      </c>
      <c r="I180" s="12" t="s">
        <v>508</v>
      </c>
      <c r="J180" s="11" t="s">
        <v>846</v>
      </c>
      <c r="K180" s="12" t="s">
        <v>62</v>
      </c>
      <c r="L180" s="12" t="s">
        <v>510</v>
      </c>
    </row>
    <row r="181" spans="1:12" ht="26.4" x14ac:dyDescent="0.3">
      <c r="A181" s="10" t="s">
        <v>874</v>
      </c>
      <c r="B181" s="11" t="s">
        <v>12</v>
      </c>
      <c r="C181" s="11" t="s">
        <v>875</v>
      </c>
      <c r="D181" s="11" t="s">
        <v>843</v>
      </c>
      <c r="E181" s="11" t="s">
        <v>876</v>
      </c>
      <c r="F181" s="11" t="s">
        <v>877</v>
      </c>
      <c r="G181" s="12" t="s">
        <v>59</v>
      </c>
      <c r="H181" s="12" t="s">
        <v>59</v>
      </c>
      <c r="I181" s="12" t="s">
        <v>508</v>
      </c>
      <c r="J181" s="11" t="s">
        <v>846</v>
      </c>
      <c r="K181" s="12" t="s">
        <v>62</v>
      </c>
      <c r="L181" s="12" t="s">
        <v>510</v>
      </c>
    </row>
    <row r="182" spans="1:12" ht="26.4" x14ac:dyDescent="0.3">
      <c r="A182" s="10" t="s">
        <v>878</v>
      </c>
      <c r="B182" s="11" t="s">
        <v>12</v>
      </c>
      <c r="C182" s="11" t="s">
        <v>879</v>
      </c>
      <c r="D182" s="11" t="s">
        <v>843</v>
      </c>
      <c r="E182" s="11" t="s">
        <v>880</v>
      </c>
      <c r="F182" s="11" t="s">
        <v>881</v>
      </c>
      <c r="G182" s="12" t="s">
        <v>59</v>
      </c>
      <c r="H182" s="12" t="s">
        <v>59</v>
      </c>
      <c r="I182" s="12" t="s">
        <v>508</v>
      </c>
      <c r="J182" s="11" t="s">
        <v>846</v>
      </c>
      <c r="K182" s="12" t="s">
        <v>62</v>
      </c>
      <c r="L182" s="12" t="s">
        <v>510</v>
      </c>
    </row>
    <row r="183" spans="1:12" ht="26.4" x14ac:dyDescent="0.3">
      <c r="A183" s="10" t="s">
        <v>882</v>
      </c>
      <c r="B183" s="11" t="s">
        <v>12</v>
      </c>
      <c r="C183" s="11" t="s">
        <v>883</v>
      </c>
      <c r="D183" s="11" t="s">
        <v>843</v>
      </c>
      <c r="E183" s="11" t="s">
        <v>884</v>
      </c>
      <c r="F183" s="11" t="s">
        <v>885</v>
      </c>
      <c r="G183" s="12" t="s">
        <v>59</v>
      </c>
      <c r="H183" s="12" t="s">
        <v>59</v>
      </c>
      <c r="I183" s="12" t="s">
        <v>508</v>
      </c>
      <c r="J183" s="11" t="s">
        <v>846</v>
      </c>
      <c r="K183" s="12" t="s">
        <v>62</v>
      </c>
      <c r="L183" s="12" t="s">
        <v>510</v>
      </c>
    </row>
    <row r="184" spans="1:12" ht="26.4" x14ac:dyDescent="0.3">
      <c r="A184" s="10" t="s">
        <v>886</v>
      </c>
      <c r="B184" s="11" t="s">
        <v>12</v>
      </c>
      <c r="C184" s="11" t="s">
        <v>887</v>
      </c>
      <c r="D184" s="11" t="s">
        <v>843</v>
      </c>
      <c r="E184" s="11" t="s">
        <v>888</v>
      </c>
      <c r="F184" s="11" t="s">
        <v>889</v>
      </c>
      <c r="G184" s="12" t="s">
        <v>59</v>
      </c>
      <c r="H184" s="12" t="s">
        <v>59</v>
      </c>
      <c r="I184" s="12" t="s">
        <v>508</v>
      </c>
      <c r="J184" s="11" t="s">
        <v>846</v>
      </c>
      <c r="K184" s="12" t="s">
        <v>62</v>
      </c>
      <c r="L184" s="12" t="s">
        <v>510</v>
      </c>
    </row>
    <row r="185" spans="1:12" ht="26.4" x14ac:dyDescent="0.3">
      <c r="A185" s="10" t="s">
        <v>890</v>
      </c>
      <c r="B185" s="11" t="s">
        <v>12</v>
      </c>
      <c r="C185" s="11" t="s">
        <v>891</v>
      </c>
      <c r="D185" s="11" t="s">
        <v>892</v>
      </c>
      <c r="E185" s="11" t="s">
        <v>893</v>
      </c>
      <c r="F185" s="11" t="s">
        <v>894</v>
      </c>
      <c r="G185" s="12" t="s">
        <v>59</v>
      </c>
      <c r="H185" s="12" t="s">
        <v>59</v>
      </c>
      <c r="I185" s="12" t="s">
        <v>508</v>
      </c>
      <c r="J185" s="11" t="s">
        <v>895</v>
      </c>
      <c r="K185" s="12" t="s">
        <v>62</v>
      </c>
      <c r="L185" s="12" t="s">
        <v>510</v>
      </c>
    </row>
    <row r="186" spans="1:12" ht="26.4" x14ac:dyDescent="0.3">
      <c r="A186" s="10" t="s">
        <v>896</v>
      </c>
      <c r="B186" s="11" t="s">
        <v>12</v>
      </c>
      <c r="C186" s="11" t="s">
        <v>891</v>
      </c>
      <c r="D186" s="11" t="s">
        <v>892</v>
      </c>
      <c r="E186" s="11" t="s">
        <v>897</v>
      </c>
      <c r="F186" s="11" t="s">
        <v>894</v>
      </c>
      <c r="G186" s="12" t="s">
        <v>59</v>
      </c>
      <c r="H186" s="12" t="s">
        <v>59</v>
      </c>
      <c r="I186" s="12" t="s">
        <v>508</v>
      </c>
      <c r="J186" s="11" t="s">
        <v>895</v>
      </c>
      <c r="K186" s="12" t="s">
        <v>62</v>
      </c>
      <c r="L186" s="12" t="s">
        <v>510</v>
      </c>
    </row>
    <row r="187" spans="1:12" ht="26.4" x14ac:dyDescent="0.3">
      <c r="A187" s="10" t="s">
        <v>898</v>
      </c>
      <c r="B187" s="11" t="s">
        <v>12</v>
      </c>
      <c r="C187" s="11" t="s">
        <v>891</v>
      </c>
      <c r="D187" s="11" t="s">
        <v>892</v>
      </c>
      <c r="E187" s="11" t="s">
        <v>899</v>
      </c>
      <c r="F187" s="11" t="s">
        <v>894</v>
      </c>
      <c r="G187" s="12" t="s">
        <v>59</v>
      </c>
      <c r="H187" s="12" t="s">
        <v>59</v>
      </c>
      <c r="I187" s="12" t="s">
        <v>508</v>
      </c>
      <c r="J187" s="11" t="s">
        <v>895</v>
      </c>
      <c r="K187" s="12" t="s">
        <v>62</v>
      </c>
      <c r="L187" s="12" t="s">
        <v>510</v>
      </c>
    </row>
    <row r="188" spans="1:12" ht="26.4" x14ac:dyDescent="0.3">
      <c r="A188" s="10" t="s">
        <v>900</v>
      </c>
      <c r="B188" s="11" t="s">
        <v>12</v>
      </c>
      <c r="C188" s="11" t="s">
        <v>901</v>
      </c>
      <c r="D188" s="11" t="s">
        <v>892</v>
      </c>
      <c r="E188" s="11" t="s">
        <v>902</v>
      </c>
      <c r="F188" s="11" t="s">
        <v>894</v>
      </c>
      <c r="G188" s="12" t="s">
        <v>59</v>
      </c>
      <c r="H188" s="12" t="s">
        <v>59</v>
      </c>
      <c r="I188" s="12" t="s">
        <v>508</v>
      </c>
      <c r="J188" s="11" t="s">
        <v>895</v>
      </c>
      <c r="K188" s="12" t="s">
        <v>62</v>
      </c>
      <c r="L188" s="12" t="s">
        <v>510</v>
      </c>
    </row>
    <row r="189" spans="1:12" ht="26.4" x14ac:dyDescent="0.3">
      <c r="A189" s="10" t="s">
        <v>903</v>
      </c>
      <c r="B189" s="11" t="s">
        <v>12</v>
      </c>
      <c r="C189" s="11" t="s">
        <v>901</v>
      </c>
      <c r="D189" s="11" t="s">
        <v>892</v>
      </c>
      <c r="E189" s="11" t="s">
        <v>904</v>
      </c>
      <c r="F189" s="11" t="s">
        <v>894</v>
      </c>
      <c r="G189" s="12" t="s">
        <v>59</v>
      </c>
      <c r="H189" s="12" t="s">
        <v>59</v>
      </c>
      <c r="I189" s="12" t="s">
        <v>508</v>
      </c>
      <c r="J189" s="11" t="s">
        <v>895</v>
      </c>
      <c r="K189" s="12" t="s">
        <v>62</v>
      </c>
      <c r="L189" s="12" t="s">
        <v>510</v>
      </c>
    </row>
    <row r="190" spans="1:12" ht="26.4" x14ac:dyDescent="0.3">
      <c r="A190" s="10" t="s">
        <v>905</v>
      </c>
      <c r="B190" s="11" t="s">
        <v>12</v>
      </c>
      <c r="C190" s="11" t="s">
        <v>901</v>
      </c>
      <c r="D190" s="11" t="s">
        <v>892</v>
      </c>
      <c r="E190" s="11" t="s">
        <v>906</v>
      </c>
      <c r="F190" s="11" t="s">
        <v>894</v>
      </c>
      <c r="G190" s="12" t="s">
        <v>59</v>
      </c>
      <c r="H190" s="12" t="s">
        <v>59</v>
      </c>
      <c r="I190" s="12" t="s">
        <v>508</v>
      </c>
      <c r="J190" s="11" t="s">
        <v>895</v>
      </c>
      <c r="K190" s="12" t="s">
        <v>62</v>
      </c>
      <c r="L190" s="12" t="s">
        <v>510</v>
      </c>
    </row>
    <row r="191" spans="1:12" ht="26.4" x14ac:dyDescent="0.3">
      <c r="A191" s="10" t="s">
        <v>907</v>
      </c>
      <c r="B191" s="11" t="s">
        <v>12</v>
      </c>
      <c r="C191" s="11" t="s">
        <v>908</v>
      </c>
      <c r="D191" s="11" t="s">
        <v>892</v>
      </c>
      <c r="E191" s="11" t="s">
        <v>909</v>
      </c>
      <c r="F191" s="11" t="s">
        <v>894</v>
      </c>
      <c r="G191" s="12" t="s">
        <v>59</v>
      </c>
      <c r="H191" s="12" t="s">
        <v>59</v>
      </c>
      <c r="I191" s="12" t="s">
        <v>508</v>
      </c>
      <c r="J191" s="11" t="s">
        <v>895</v>
      </c>
      <c r="K191" s="12" t="s">
        <v>62</v>
      </c>
      <c r="L191" s="12" t="s">
        <v>510</v>
      </c>
    </row>
    <row r="192" spans="1:12" ht="26.4" x14ac:dyDescent="0.3">
      <c r="A192" s="10" t="s">
        <v>910</v>
      </c>
      <c r="B192" s="11" t="s">
        <v>12</v>
      </c>
      <c r="C192" s="11" t="s">
        <v>908</v>
      </c>
      <c r="D192" s="11" t="s">
        <v>892</v>
      </c>
      <c r="E192" s="11" t="s">
        <v>911</v>
      </c>
      <c r="F192" s="11" t="s">
        <v>894</v>
      </c>
      <c r="G192" s="12" t="s">
        <v>59</v>
      </c>
      <c r="H192" s="12" t="s">
        <v>59</v>
      </c>
      <c r="I192" s="12" t="s">
        <v>508</v>
      </c>
      <c r="J192" s="11" t="s">
        <v>895</v>
      </c>
      <c r="K192" s="12" t="s">
        <v>62</v>
      </c>
      <c r="L192" s="12" t="s">
        <v>510</v>
      </c>
    </row>
    <row r="193" spans="1:12" ht="26.4" x14ac:dyDescent="0.3">
      <c r="A193" s="10" t="s">
        <v>912</v>
      </c>
      <c r="B193" s="11" t="s">
        <v>12</v>
      </c>
      <c r="C193" s="11" t="s">
        <v>908</v>
      </c>
      <c r="D193" s="11" t="s">
        <v>892</v>
      </c>
      <c r="E193" s="11" t="s">
        <v>913</v>
      </c>
      <c r="F193" s="11" t="s">
        <v>894</v>
      </c>
      <c r="G193" s="12" t="s">
        <v>59</v>
      </c>
      <c r="H193" s="12" t="s">
        <v>59</v>
      </c>
      <c r="I193" s="12" t="s">
        <v>508</v>
      </c>
      <c r="J193" s="11" t="s">
        <v>895</v>
      </c>
      <c r="K193" s="12" t="s">
        <v>62</v>
      </c>
      <c r="L193" s="12" t="s">
        <v>510</v>
      </c>
    </row>
    <row r="194" spans="1:12" ht="26.4" x14ac:dyDescent="0.3">
      <c r="A194" s="10" t="s">
        <v>914</v>
      </c>
      <c r="B194" s="11" t="s">
        <v>12</v>
      </c>
      <c r="C194" s="11" t="s">
        <v>915</v>
      </c>
      <c r="D194" s="11" t="s">
        <v>916</v>
      </c>
      <c r="E194" s="11" t="s">
        <v>917</v>
      </c>
      <c r="F194" s="11" t="s">
        <v>918</v>
      </c>
      <c r="G194" s="12" t="s">
        <v>59</v>
      </c>
      <c r="H194" s="12" t="s">
        <v>59</v>
      </c>
      <c r="I194" s="12" t="s">
        <v>508</v>
      </c>
      <c r="J194" s="11" t="s">
        <v>919</v>
      </c>
      <c r="K194" s="12" t="s">
        <v>62</v>
      </c>
      <c r="L194" s="12" t="s">
        <v>510</v>
      </c>
    </row>
    <row r="195" spans="1:12" ht="26.4" x14ac:dyDescent="0.3">
      <c r="A195" s="10" t="s">
        <v>920</v>
      </c>
      <c r="B195" s="11" t="s">
        <v>12</v>
      </c>
      <c r="C195" s="11" t="s">
        <v>915</v>
      </c>
      <c r="D195" s="11" t="s">
        <v>916</v>
      </c>
      <c r="E195" s="11" t="s">
        <v>921</v>
      </c>
      <c r="F195" s="11" t="s">
        <v>918</v>
      </c>
      <c r="G195" s="12" t="s">
        <v>59</v>
      </c>
      <c r="H195" s="12" t="s">
        <v>59</v>
      </c>
      <c r="I195" s="12" t="s">
        <v>508</v>
      </c>
      <c r="J195" s="11" t="s">
        <v>919</v>
      </c>
      <c r="K195" s="12" t="s">
        <v>62</v>
      </c>
      <c r="L195" s="12" t="s">
        <v>510</v>
      </c>
    </row>
    <row r="196" spans="1:12" ht="26.4" x14ac:dyDescent="0.3">
      <c r="A196" s="10" t="s">
        <v>922</v>
      </c>
      <c r="B196" s="11" t="s">
        <v>12</v>
      </c>
      <c r="C196" s="11" t="s">
        <v>915</v>
      </c>
      <c r="D196" s="11" t="s">
        <v>916</v>
      </c>
      <c r="E196" s="11" t="s">
        <v>923</v>
      </c>
      <c r="F196" s="11" t="s">
        <v>918</v>
      </c>
      <c r="G196" s="12" t="s">
        <v>59</v>
      </c>
      <c r="H196" s="12" t="s">
        <v>59</v>
      </c>
      <c r="I196" s="12" t="s">
        <v>508</v>
      </c>
      <c r="J196" s="11" t="s">
        <v>919</v>
      </c>
      <c r="K196" s="12" t="s">
        <v>62</v>
      </c>
      <c r="L196" s="12" t="s">
        <v>510</v>
      </c>
    </row>
    <row r="197" spans="1:12" ht="26.4" x14ac:dyDescent="0.3">
      <c r="A197" s="10" t="s">
        <v>924</v>
      </c>
      <c r="B197" s="11" t="s">
        <v>12</v>
      </c>
      <c r="C197" s="11" t="s">
        <v>925</v>
      </c>
      <c r="D197" s="11" t="s">
        <v>926</v>
      </c>
      <c r="E197" s="11" t="s">
        <v>927</v>
      </c>
      <c r="F197" s="11" t="s">
        <v>227</v>
      </c>
      <c r="G197" s="12" t="s">
        <v>59</v>
      </c>
      <c r="H197" s="12" t="s">
        <v>59</v>
      </c>
      <c r="I197" s="12" t="s">
        <v>508</v>
      </c>
      <c r="J197" s="11" t="s">
        <v>928</v>
      </c>
      <c r="K197" s="12" t="s">
        <v>62</v>
      </c>
      <c r="L197" s="12" t="s">
        <v>510</v>
      </c>
    </row>
    <row r="198" spans="1:12" ht="26.4" x14ac:dyDescent="0.3">
      <c r="A198" s="10" t="s">
        <v>929</v>
      </c>
      <c r="B198" s="11" t="s">
        <v>12</v>
      </c>
      <c r="C198" s="11" t="s">
        <v>925</v>
      </c>
      <c r="D198" s="11" t="s">
        <v>926</v>
      </c>
      <c r="E198" s="11" t="s">
        <v>930</v>
      </c>
      <c r="F198" s="11" t="s">
        <v>227</v>
      </c>
      <c r="G198" s="12" t="s">
        <v>59</v>
      </c>
      <c r="H198" s="12" t="s">
        <v>59</v>
      </c>
      <c r="I198" s="12" t="s">
        <v>508</v>
      </c>
      <c r="J198" s="11" t="s">
        <v>928</v>
      </c>
      <c r="K198" s="12" t="s">
        <v>62</v>
      </c>
      <c r="L198" s="12" t="s">
        <v>510</v>
      </c>
    </row>
    <row r="199" spans="1:12" ht="26.4" x14ac:dyDescent="0.3">
      <c r="A199" s="10" t="s">
        <v>931</v>
      </c>
      <c r="B199" s="11" t="s">
        <v>12</v>
      </c>
      <c r="C199" s="11" t="s">
        <v>925</v>
      </c>
      <c r="D199" s="11" t="s">
        <v>926</v>
      </c>
      <c r="E199" s="11" t="s">
        <v>932</v>
      </c>
      <c r="F199" s="11" t="s">
        <v>227</v>
      </c>
      <c r="G199" s="12" t="s">
        <v>59</v>
      </c>
      <c r="H199" s="12" t="s">
        <v>59</v>
      </c>
      <c r="I199" s="12" t="s">
        <v>508</v>
      </c>
      <c r="J199" s="11" t="s">
        <v>928</v>
      </c>
      <c r="K199" s="12" t="s">
        <v>62</v>
      </c>
      <c r="L199" s="12" t="s">
        <v>510</v>
      </c>
    </row>
    <row r="200" spans="1:12" ht="26.4" x14ac:dyDescent="0.3">
      <c r="A200" s="10" t="s">
        <v>933</v>
      </c>
      <c r="B200" s="11" t="s">
        <v>12</v>
      </c>
      <c r="C200" s="11" t="s">
        <v>925</v>
      </c>
      <c r="D200" s="11" t="s">
        <v>926</v>
      </c>
      <c r="E200" s="11" t="s">
        <v>934</v>
      </c>
      <c r="F200" s="11" t="s">
        <v>227</v>
      </c>
      <c r="G200" s="12" t="s">
        <v>59</v>
      </c>
      <c r="H200" s="12" t="s">
        <v>59</v>
      </c>
      <c r="I200" s="12" t="s">
        <v>508</v>
      </c>
      <c r="J200" s="11" t="s">
        <v>928</v>
      </c>
      <c r="K200" s="12" t="s">
        <v>62</v>
      </c>
      <c r="L200" s="12" t="s">
        <v>510</v>
      </c>
    </row>
    <row r="201" spans="1:12" ht="26.4" x14ac:dyDescent="0.3">
      <c r="A201" s="10" t="s">
        <v>935</v>
      </c>
      <c r="B201" s="11" t="s">
        <v>12</v>
      </c>
      <c r="C201" s="11" t="s">
        <v>936</v>
      </c>
      <c r="D201" s="11" t="s">
        <v>937</v>
      </c>
      <c r="E201" s="11" t="s">
        <v>334</v>
      </c>
      <c r="F201" s="11" t="s">
        <v>523</v>
      </c>
      <c r="G201" s="12" t="s">
        <v>59</v>
      </c>
      <c r="H201" s="12" t="s">
        <v>59</v>
      </c>
      <c r="I201" s="12" t="s">
        <v>508</v>
      </c>
      <c r="J201" s="11" t="s">
        <v>938</v>
      </c>
      <c r="K201" s="12" t="s">
        <v>62</v>
      </c>
      <c r="L201" s="12" t="s">
        <v>510</v>
      </c>
    </row>
    <row r="202" spans="1:12" ht="26.4" x14ac:dyDescent="0.3">
      <c r="A202" s="10" t="s">
        <v>939</v>
      </c>
      <c r="B202" s="11" t="s">
        <v>12</v>
      </c>
      <c r="C202" s="11" t="s">
        <v>940</v>
      </c>
      <c r="D202" s="11" t="s">
        <v>937</v>
      </c>
      <c r="E202" s="11" t="s">
        <v>350</v>
      </c>
      <c r="F202" s="11" t="s">
        <v>523</v>
      </c>
      <c r="G202" s="12" t="s">
        <v>59</v>
      </c>
      <c r="H202" s="12" t="s">
        <v>59</v>
      </c>
      <c r="I202" s="12" t="s">
        <v>508</v>
      </c>
      <c r="J202" s="11" t="s">
        <v>938</v>
      </c>
      <c r="K202" s="12" t="s">
        <v>62</v>
      </c>
      <c r="L202" s="12" t="s">
        <v>510</v>
      </c>
    </row>
    <row r="203" spans="1:12" ht="26.4" x14ac:dyDescent="0.3">
      <c r="A203" s="10" t="s">
        <v>941</v>
      </c>
      <c r="B203" s="11" t="s">
        <v>12</v>
      </c>
      <c r="C203" s="11" t="s">
        <v>942</v>
      </c>
      <c r="D203" s="11" t="s">
        <v>937</v>
      </c>
      <c r="E203" s="11" t="s">
        <v>310</v>
      </c>
      <c r="F203" s="11" t="s">
        <v>523</v>
      </c>
      <c r="G203" s="12" t="s">
        <v>59</v>
      </c>
      <c r="H203" s="12" t="s">
        <v>59</v>
      </c>
      <c r="I203" s="12" t="s">
        <v>508</v>
      </c>
      <c r="J203" s="11" t="s">
        <v>938</v>
      </c>
      <c r="K203" s="12" t="s">
        <v>62</v>
      </c>
      <c r="L203" s="12" t="s">
        <v>510</v>
      </c>
    </row>
    <row r="204" spans="1:12" ht="26.4" x14ac:dyDescent="0.3">
      <c r="A204" s="10" t="s">
        <v>943</v>
      </c>
      <c r="B204" s="11" t="s">
        <v>12</v>
      </c>
      <c r="C204" s="11" t="s">
        <v>944</v>
      </c>
      <c r="D204" s="11" t="s">
        <v>937</v>
      </c>
      <c r="E204" s="11" t="s">
        <v>392</v>
      </c>
      <c r="F204" s="11" t="s">
        <v>523</v>
      </c>
      <c r="G204" s="12" t="s">
        <v>59</v>
      </c>
      <c r="H204" s="12" t="s">
        <v>59</v>
      </c>
      <c r="I204" s="12" t="s">
        <v>508</v>
      </c>
      <c r="J204" s="11" t="s">
        <v>938</v>
      </c>
      <c r="K204" s="12" t="s">
        <v>62</v>
      </c>
      <c r="L204" s="12" t="s">
        <v>510</v>
      </c>
    </row>
    <row r="205" spans="1:12" ht="26.4" x14ac:dyDescent="0.3">
      <c r="A205" s="10" t="s">
        <v>945</v>
      </c>
      <c r="B205" s="11" t="s">
        <v>12</v>
      </c>
      <c r="C205" s="11" t="s">
        <v>946</v>
      </c>
      <c r="D205" s="11" t="s">
        <v>937</v>
      </c>
      <c r="E205" s="11" t="s">
        <v>501</v>
      </c>
      <c r="F205" s="11" t="s">
        <v>523</v>
      </c>
      <c r="G205" s="12" t="s">
        <v>59</v>
      </c>
      <c r="H205" s="12" t="s">
        <v>59</v>
      </c>
      <c r="I205" s="12" t="s">
        <v>508</v>
      </c>
      <c r="J205" s="11" t="s">
        <v>938</v>
      </c>
      <c r="K205" s="12" t="s">
        <v>62</v>
      </c>
      <c r="L205" s="12" t="s">
        <v>510</v>
      </c>
    </row>
    <row r="206" spans="1:12" ht="26.4" x14ac:dyDescent="0.3">
      <c r="A206" s="10" t="s">
        <v>947</v>
      </c>
      <c r="B206" s="11" t="s">
        <v>12</v>
      </c>
      <c r="C206" s="11" t="s">
        <v>948</v>
      </c>
      <c r="D206" s="11" t="s">
        <v>949</v>
      </c>
      <c r="E206" s="11" t="s">
        <v>232</v>
      </c>
      <c r="F206" s="11" t="s">
        <v>950</v>
      </c>
      <c r="G206" s="12" t="s">
        <v>59</v>
      </c>
      <c r="H206" s="12" t="s">
        <v>59</v>
      </c>
      <c r="I206" s="12" t="s">
        <v>508</v>
      </c>
      <c r="J206" s="11" t="s">
        <v>951</v>
      </c>
      <c r="K206" s="12" t="s">
        <v>62</v>
      </c>
      <c r="L206" s="12" t="s">
        <v>510</v>
      </c>
    </row>
    <row r="207" spans="1:12" ht="26.4" x14ac:dyDescent="0.3">
      <c r="A207" s="10" t="s">
        <v>952</v>
      </c>
      <c r="B207" s="11" t="s">
        <v>12</v>
      </c>
      <c r="C207" s="11" t="s">
        <v>948</v>
      </c>
      <c r="D207" s="11" t="s">
        <v>949</v>
      </c>
      <c r="E207" s="11" t="s">
        <v>953</v>
      </c>
      <c r="F207" s="11" t="s">
        <v>950</v>
      </c>
      <c r="G207" s="12" t="s">
        <v>59</v>
      </c>
      <c r="H207" s="12" t="s">
        <v>59</v>
      </c>
      <c r="I207" s="12" t="s">
        <v>508</v>
      </c>
      <c r="J207" s="11" t="s">
        <v>951</v>
      </c>
      <c r="K207" s="12" t="s">
        <v>62</v>
      </c>
      <c r="L207" s="12" t="s">
        <v>510</v>
      </c>
    </row>
    <row r="208" spans="1:12" ht="26.4" x14ac:dyDescent="0.3">
      <c r="A208" s="10" t="s">
        <v>954</v>
      </c>
      <c r="B208" s="11" t="s">
        <v>12</v>
      </c>
      <c r="C208" s="11" t="s">
        <v>948</v>
      </c>
      <c r="D208" s="11" t="s">
        <v>949</v>
      </c>
      <c r="E208" s="11" t="s">
        <v>955</v>
      </c>
      <c r="F208" s="11" t="s">
        <v>950</v>
      </c>
      <c r="G208" s="12" t="s">
        <v>59</v>
      </c>
      <c r="H208" s="12" t="s">
        <v>59</v>
      </c>
      <c r="I208" s="12" t="s">
        <v>508</v>
      </c>
      <c r="J208" s="11" t="s">
        <v>951</v>
      </c>
      <c r="K208" s="12" t="s">
        <v>62</v>
      </c>
      <c r="L208" s="12" t="s">
        <v>510</v>
      </c>
    </row>
    <row r="209" spans="1:12" ht="26.4" x14ac:dyDescent="0.3">
      <c r="A209" s="10" t="s">
        <v>956</v>
      </c>
      <c r="B209" s="11" t="s">
        <v>12</v>
      </c>
      <c r="C209" s="11" t="s">
        <v>948</v>
      </c>
      <c r="D209" s="11" t="s">
        <v>949</v>
      </c>
      <c r="E209" s="11" t="s">
        <v>957</v>
      </c>
      <c r="F209" s="11" t="s">
        <v>950</v>
      </c>
      <c r="G209" s="12" t="s">
        <v>59</v>
      </c>
      <c r="H209" s="12" t="s">
        <v>59</v>
      </c>
      <c r="I209" s="12" t="s">
        <v>508</v>
      </c>
      <c r="J209" s="11" t="s">
        <v>951</v>
      </c>
      <c r="K209" s="12" t="s">
        <v>62</v>
      </c>
      <c r="L209" s="12" t="s">
        <v>510</v>
      </c>
    </row>
    <row r="210" spans="1:12" ht="26.4" x14ac:dyDescent="0.3">
      <c r="A210" s="10" t="s">
        <v>958</v>
      </c>
      <c r="B210" s="11" t="s">
        <v>12</v>
      </c>
      <c r="C210" s="11" t="s">
        <v>948</v>
      </c>
      <c r="D210" s="11" t="s">
        <v>949</v>
      </c>
      <c r="E210" s="11" t="s">
        <v>959</v>
      </c>
      <c r="F210" s="11" t="s">
        <v>950</v>
      </c>
      <c r="G210" s="12" t="s">
        <v>59</v>
      </c>
      <c r="H210" s="12" t="s">
        <v>59</v>
      </c>
      <c r="I210" s="12" t="s">
        <v>508</v>
      </c>
      <c r="J210" s="11" t="s">
        <v>951</v>
      </c>
      <c r="K210" s="12" t="s">
        <v>62</v>
      </c>
      <c r="L210" s="12" t="s">
        <v>510</v>
      </c>
    </row>
    <row r="211" spans="1:12" ht="26.4" x14ac:dyDescent="0.3">
      <c r="A211" s="10" t="s">
        <v>960</v>
      </c>
      <c r="B211" s="11" t="s">
        <v>12</v>
      </c>
      <c r="C211" s="11" t="s">
        <v>961</v>
      </c>
      <c r="D211" s="11" t="s">
        <v>962</v>
      </c>
      <c r="E211" s="11" t="s">
        <v>963</v>
      </c>
      <c r="F211" s="11" t="s">
        <v>964</v>
      </c>
      <c r="G211" s="12" t="s">
        <v>59</v>
      </c>
      <c r="H211" s="12" t="s">
        <v>59</v>
      </c>
      <c r="I211" s="12" t="s">
        <v>508</v>
      </c>
      <c r="J211" s="11" t="s">
        <v>965</v>
      </c>
      <c r="K211" s="12" t="s">
        <v>62</v>
      </c>
      <c r="L211" s="12" t="s">
        <v>510</v>
      </c>
    </row>
    <row r="212" spans="1:12" ht="26.4" x14ac:dyDescent="0.3">
      <c r="A212" s="10" t="s">
        <v>966</v>
      </c>
      <c r="B212" s="11" t="s">
        <v>12</v>
      </c>
      <c r="C212" s="11" t="s">
        <v>961</v>
      </c>
      <c r="D212" s="11" t="s">
        <v>962</v>
      </c>
      <c r="E212" s="11" t="s">
        <v>967</v>
      </c>
      <c r="F212" s="11" t="s">
        <v>964</v>
      </c>
      <c r="G212" s="12" t="s">
        <v>59</v>
      </c>
      <c r="H212" s="12" t="s">
        <v>59</v>
      </c>
      <c r="I212" s="12" t="s">
        <v>508</v>
      </c>
      <c r="J212" s="11" t="s">
        <v>965</v>
      </c>
      <c r="K212" s="12" t="s">
        <v>62</v>
      </c>
      <c r="L212" s="12" t="s">
        <v>510</v>
      </c>
    </row>
    <row r="213" spans="1:12" ht="26.4" x14ac:dyDescent="0.3">
      <c r="A213" s="10" t="s">
        <v>968</v>
      </c>
      <c r="B213" s="11" t="s">
        <v>12</v>
      </c>
      <c r="C213" s="11" t="s">
        <v>969</v>
      </c>
      <c r="D213" s="11" t="s">
        <v>970</v>
      </c>
      <c r="E213" s="11" t="s">
        <v>971</v>
      </c>
      <c r="F213" s="11" t="s">
        <v>972</v>
      </c>
      <c r="G213" s="12" t="s">
        <v>59</v>
      </c>
      <c r="H213" s="12" t="s">
        <v>59</v>
      </c>
      <c r="I213" s="12" t="s">
        <v>508</v>
      </c>
      <c r="J213" s="11" t="s">
        <v>973</v>
      </c>
      <c r="K213" s="12" t="s">
        <v>62</v>
      </c>
      <c r="L213" s="12" t="s">
        <v>510</v>
      </c>
    </row>
    <row r="214" spans="1:12" ht="26.4" x14ac:dyDescent="0.3">
      <c r="A214" s="10" t="s">
        <v>974</v>
      </c>
      <c r="B214" s="11" t="s">
        <v>12</v>
      </c>
      <c r="C214" s="11" t="s">
        <v>969</v>
      </c>
      <c r="D214" s="11" t="s">
        <v>970</v>
      </c>
      <c r="E214" s="11" t="s">
        <v>975</v>
      </c>
      <c r="F214" s="11" t="s">
        <v>972</v>
      </c>
      <c r="G214" s="12" t="s">
        <v>59</v>
      </c>
      <c r="H214" s="12" t="s">
        <v>59</v>
      </c>
      <c r="I214" s="12" t="s">
        <v>508</v>
      </c>
      <c r="J214" s="11" t="s">
        <v>973</v>
      </c>
      <c r="K214" s="12" t="s">
        <v>62</v>
      </c>
      <c r="L214" s="12" t="s">
        <v>510</v>
      </c>
    </row>
    <row r="215" spans="1:12" ht="26.4" x14ac:dyDescent="0.3">
      <c r="A215" s="10" t="s">
        <v>976</v>
      </c>
      <c r="B215" s="11" t="s">
        <v>12</v>
      </c>
      <c r="C215" s="11" t="s">
        <v>969</v>
      </c>
      <c r="D215" s="11" t="s">
        <v>970</v>
      </c>
      <c r="E215" s="11" t="s">
        <v>977</v>
      </c>
      <c r="F215" s="11" t="s">
        <v>972</v>
      </c>
      <c r="G215" s="12" t="s">
        <v>59</v>
      </c>
      <c r="H215" s="12" t="s">
        <v>59</v>
      </c>
      <c r="I215" s="12" t="s">
        <v>508</v>
      </c>
      <c r="J215" s="11" t="s">
        <v>973</v>
      </c>
      <c r="K215" s="12" t="s">
        <v>62</v>
      </c>
      <c r="L215" s="12" t="s">
        <v>510</v>
      </c>
    </row>
    <row r="216" spans="1:12" ht="26.4" x14ac:dyDescent="0.3">
      <c r="A216" s="10" t="s">
        <v>978</v>
      </c>
      <c r="B216" s="11" t="s">
        <v>12</v>
      </c>
      <c r="C216" s="11" t="s">
        <v>979</v>
      </c>
      <c r="D216" s="11" t="s">
        <v>980</v>
      </c>
      <c r="E216" s="11" t="s">
        <v>981</v>
      </c>
      <c r="F216" s="11" t="s">
        <v>982</v>
      </c>
      <c r="G216" s="12" t="s">
        <v>59</v>
      </c>
      <c r="H216" s="12" t="s">
        <v>59</v>
      </c>
      <c r="I216" s="12" t="s">
        <v>508</v>
      </c>
      <c r="J216" s="11" t="s">
        <v>983</v>
      </c>
      <c r="K216" s="12" t="s">
        <v>62</v>
      </c>
      <c r="L216" s="12" t="s">
        <v>510</v>
      </c>
    </row>
    <row r="217" spans="1:12" ht="26.4" x14ac:dyDescent="0.3">
      <c r="A217" s="10" t="s">
        <v>984</v>
      </c>
      <c r="B217" s="11" t="s">
        <v>12</v>
      </c>
      <c r="C217" s="11" t="s">
        <v>985</v>
      </c>
      <c r="D217" s="11" t="s">
        <v>980</v>
      </c>
      <c r="E217" s="11" t="s">
        <v>986</v>
      </c>
      <c r="F217" s="11" t="s">
        <v>982</v>
      </c>
      <c r="G217" s="12" t="s">
        <v>59</v>
      </c>
      <c r="H217" s="12" t="s">
        <v>59</v>
      </c>
      <c r="I217" s="12" t="s">
        <v>508</v>
      </c>
      <c r="J217" s="11" t="s">
        <v>983</v>
      </c>
      <c r="K217" s="12" t="s">
        <v>62</v>
      </c>
      <c r="L217" s="12" t="s">
        <v>510</v>
      </c>
    </row>
    <row r="218" spans="1:12" ht="26.4" x14ac:dyDescent="0.3">
      <c r="A218" s="10" t="s">
        <v>987</v>
      </c>
      <c r="B218" s="11" t="s">
        <v>12</v>
      </c>
      <c r="C218" s="11" t="s">
        <v>988</v>
      </c>
      <c r="D218" s="11" t="s">
        <v>980</v>
      </c>
      <c r="E218" s="11" t="s">
        <v>989</v>
      </c>
      <c r="F218" s="11" t="s">
        <v>982</v>
      </c>
      <c r="G218" s="12" t="s">
        <v>59</v>
      </c>
      <c r="H218" s="12" t="s">
        <v>59</v>
      </c>
      <c r="I218" s="12" t="s">
        <v>508</v>
      </c>
      <c r="J218" s="11" t="s">
        <v>983</v>
      </c>
      <c r="K218" s="12" t="s">
        <v>62</v>
      </c>
      <c r="L218" s="12" t="s">
        <v>510</v>
      </c>
    </row>
    <row r="219" spans="1:12" ht="26.4" x14ac:dyDescent="0.3">
      <c r="A219" s="10" t="s">
        <v>990</v>
      </c>
      <c r="B219" s="11" t="s">
        <v>12</v>
      </c>
      <c r="C219" s="11" t="s">
        <v>991</v>
      </c>
      <c r="D219" s="11" t="s">
        <v>980</v>
      </c>
      <c r="E219" s="11" t="s">
        <v>238</v>
      </c>
      <c r="F219" s="11" t="s">
        <v>982</v>
      </c>
      <c r="G219" s="12" t="s">
        <v>59</v>
      </c>
      <c r="H219" s="12" t="s">
        <v>59</v>
      </c>
      <c r="I219" s="12" t="s">
        <v>508</v>
      </c>
      <c r="J219" s="11" t="s">
        <v>983</v>
      </c>
      <c r="K219" s="12" t="s">
        <v>62</v>
      </c>
      <c r="L219" s="12" t="s">
        <v>510</v>
      </c>
    </row>
    <row r="220" spans="1:12" ht="26.4" x14ac:dyDescent="0.3">
      <c r="A220" s="10" t="s">
        <v>992</v>
      </c>
      <c r="B220" s="11" t="s">
        <v>12</v>
      </c>
      <c r="C220" s="11" t="s">
        <v>993</v>
      </c>
      <c r="D220" s="11" t="s">
        <v>980</v>
      </c>
      <c r="E220" s="11" t="s">
        <v>994</v>
      </c>
      <c r="F220" s="11" t="s">
        <v>982</v>
      </c>
      <c r="G220" s="12" t="s">
        <v>59</v>
      </c>
      <c r="H220" s="12" t="s">
        <v>59</v>
      </c>
      <c r="I220" s="12" t="s">
        <v>508</v>
      </c>
      <c r="J220" s="11" t="s">
        <v>983</v>
      </c>
      <c r="K220" s="12" t="s">
        <v>62</v>
      </c>
      <c r="L220" s="12" t="s">
        <v>510</v>
      </c>
    </row>
    <row r="221" spans="1:12" ht="26.4" x14ac:dyDescent="0.3">
      <c r="A221" s="10" t="s">
        <v>995</v>
      </c>
      <c r="B221" s="11" t="s">
        <v>12</v>
      </c>
      <c r="C221" s="11" t="s">
        <v>996</v>
      </c>
      <c r="D221" s="11" t="s">
        <v>997</v>
      </c>
      <c r="E221" s="11" t="s">
        <v>998</v>
      </c>
      <c r="F221" s="11" t="s">
        <v>999</v>
      </c>
      <c r="G221" s="12" t="s">
        <v>59</v>
      </c>
      <c r="H221" s="12" t="s">
        <v>59</v>
      </c>
      <c r="I221" s="12" t="s">
        <v>508</v>
      </c>
      <c r="J221" s="11" t="s">
        <v>1000</v>
      </c>
      <c r="K221" s="12" t="s">
        <v>62</v>
      </c>
      <c r="L221" s="12" t="s">
        <v>510</v>
      </c>
    </row>
    <row r="222" spans="1:12" ht="26.4" x14ac:dyDescent="0.3">
      <c r="A222" s="10" t="s">
        <v>1001</v>
      </c>
      <c r="B222" s="11" t="s">
        <v>12</v>
      </c>
      <c r="C222" s="11" t="s">
        <v>1002</v>
      </c>
      <c r="D222" s="11" t="s">
        <v>997</v>
      </c>
      <c r="E222" s="11" t="s">
        <v>1003</v>
      </c>
      <c r="F222" s="11" t="s">
        <v>999</v>
      </c>
      <c r="G222" s="12" t="s">
        <v>59</v>
      </c>
      <c r="H222" s="12" t="s">
        <v>59</v>
      </c>
      <c r="I222" s="12" t="s">
        <v>508</v>
      </c>
      <c r="J222" s="11" t="s">
        <v>1000</v>
      </c>
      <c r="K222" s="12" t="s">
        <v>62</v>
      </c>
      <c r="L222" s="12" t="s">
        <v>510</v>
      </c>
    </row>
    <row r="223" spans="1:12" ht="26.4" x14ac:dyDescent="0.3">
      <c r="A223" s="10" t="s">
        <v>1004</v>
      </c>
      <c r="B223" s="11" t="s">
        <v>12</v>
      </c>
      <c r="C223" s="11" t="s">
        <v>1005</v>
      </c>
      <c r="D223" s="11" t="s">
        <v>997</v>
      </c>
      <c r="E223" s="11" t="s">
        <v>1006</v>
      </c>
      <c r="F223" s="11" t="s">
        <v>1007</v>
      </c>
      <c r="G223" s="12" t="s">
        <v>59</v>
      </c>
      <c r="H223" s="12" t="s">
        <v>59</v>
      </c>
      <c r="I223" s="12" t="s">
        <v>508</v>
      </c>
      <c r="J223" s="11" t="s">
        <v>1000</v>
      </c>
      <c r="K223" s="12" t="s">
        <v>62</v>
      </c>
      <c r="L223" s="12" t="s">
        <v>510</v>
      </c>
    </row>
    <row r="224" spans="1:12" ht="26.4" x14ac:dyDescent="0.3">
      <c r="A224" s="10" t="s">
        <v>1008</v>
      </c>
      <c r="B224" s="11" t="s">
        <v>12</v>
      </c>
      <c r="C224" s="11" t="s">
        <v>1009</v>
      </c>
      <c r="D224" s="11" t="s">
        <v>997</v>
      </c>
      <c r="E224" s="11" t="s">
        <v>1010</v>
      </c>
      <c r="F224" s="11" t="s">
        <v>1007</v>
      </c>
      <c r="G224" s="12" t="s">
        <v>59</v>
      </c>
      <c r="H224" s="12" t="s">
        <v>59</v>
      </c>
      <c r="I224" s="12" t="s">
        <v>508</v>
      </c>
      <c r="J224" s="11" t="s">
        <v>1000</v>
      </c>
      <c r="K224" s="12" t="s">
        <v>62</v>
      </c>
      <c r="L224" s="12" t="s">
        <v>510</v>
      </c>
    </row>
    <row r="225" spans="1:12" ht="26.4" x14ac:dyDescent="0.3">
      <c r="A225" s="10" t="s">
        <v>1011</v>
      </c>
      <c r="B225" s="11" t="s">
        <v>12</v>
      </c>
      <c r="C225" s="11" t="s">
        <v>1012</v>
      </c>
      <c r="D225" s="11" t="s">
        <v>997</v>
      </c>
      <c r="E225" s="11" t="s">
        <v>1013</v>
      </c>
      <c r="F225" s="11" t="s">
        <v>1007</v>
      </c>
      <c r="G225" s="12" t="s">
        <v>59</v>
      </c>
      <c r="H225" s="12" t="s">
        <v>59</v>
      </c>
      <c r="I225" s="12" t="s">
        <v>508</v>
      </c>
      <c r="J225" s="11" t="s">
        <v>1000</v>
      </c>
      <c r="K225" s="12" t="s">
        <v>62</v>
      </c>
      <c r="L225" s="12" t="s">
        <v>510</v>
      </c>
    </row>
    <row r="226" spans="1:12" ht="26.4" x14ac:dyDescent="0.3">
      <c r="A226" s="10" t="s">
        <v>1014</v>
      </c>
      <c r="B226" s="11" t="s">
        <v>12</v>
      </c>
      <c r="C226" s="11" t="s">
        <v>1015</v>
      </c>
      <c r="D226" s="11" t="s">
        <v>1016</v>
      </c>
      <c r="E226" s="11" t="s">
        <v>1017</v>
      </c>
      <c r="F226" s="11" t="s">
        <v>1018</v>
      </c>
      <c r="G226" s="12" t="s">
        <v>59</v>
      </c>
      <c r="H226" s="12" t="s">
        <v>59</v>
      </c>
      <c r="I226" s="12" t="s">
        <v>508</v>
      </c>
      <c r="J226" s="11" t="s">
        <v>1019</v>
      </c>
      <c r="K226" s="12" t="s">
        <v>62</v>
      </c>
      <c r="L226" s="12" t="s">
        <v>510</v>
      </c>
    </row>
    <row r="227" spans="1:12" ht="26.4" x14ac:dyDescent="0.3">
      <c r="A227" s="10" t="s">
        <v>1020</v>
      </c>
      <c r="B227" s="11" t="s">
        <v>12</v>
      </c>
      <c r="C227" s="11" t="s">
        <v>1015</v>
      </c>
      <c r="D227" s="11" t="s">
        <v>1016</v>
      </c>
      <c r="E227" s="11" t="s">
        <v>1021</v>
      </c>
      <c r="F227" s="11" t="s">
        <v>1018</v>
      </c>
      <c r="G227" s="12" t="s">
        <v>59</v>
      </c>
      <c r="H227" s="12" t="s">
        <v>59</v>
      </c>
      <c r="I227" s="12" t="s">
        <v>508</v>
      </c>
      <c r="J227" s="11" t="s">
        <v>1019</v>
      </c>
      <c r="K227" s="12" t="s">
        <v>62</v>
      </c>
      <c r="L227" s="12" t="s">
        <v>510</v>
      </c>
    </row>
    <row r="228" spans="1:12" ht="26.4" x14ac:dyDescent="0.3">
      <c r="A228" s="10" t="s">
        <v>1022</v>
      </c>
      <c r="B228" s="11" t="s">
        <v>12</v>
      </c>
      <c r="C228" s="11" t="s">
        <v>1015</v>
      </c>
      <c r="D228" s="11" t="s">
        <v>1016</v>
      </c>
      <c r="E228" s="11" t="s">
        <v>1023</v>
      </c>
      <c r="F228" s="11" t="s">
        <v>1018</v>
      </c>
      <c r="G228" s="12" t="s">
        <v>59</v>
      </c>
      <c r="H228" s="12" t="s">
        <v>59</v>
      </c>
      <c r="I228" s="12" t="s">
        <v>508</v>
      </c>
      <c r="J228" s="11" t="s">
        <v>1019</v>
      </c>
      <c r="K228" s="12" t="s">
        <v>62</v>
      </c>
      <c r="L228" s="12" t="s">
        <v>510</v>
      </c>
    </row>
    <row r="229" spans="1:12" ht="26.4" x14ac:dyDescent="0.3">
      <c r="A229" s="10" t="s">
        <v>1024</v>
      </c>
      <c r="B229" s="11" t="s">
        <v>12</v>
      </c>
      <c r="C229" s="11" t="s">
        <v>1015</v>
      </c>
      <c r="D229" s="11" t="s">
        <v>1016</v>
      </c>
      <c r="E229" s="11" t="s">
        <v>1025</v>
      </c>
      <c r="F229" s="11" t="s">
        <v>1018</v>
      </c>
      <c r="G229" s="12" t="s">
        <v>59</v>
      </c>
      <c r="H229" s="12" t="s">
        <v>59</v>
      </c>
      <c r="I229" s="12" t="s">
        <v>508</v>
      </c>
      <c r="J229" s="11" t="s">
        <v>1019</v>
      </c>
      <c r="K229" s="12" t="s">
        <v>62</v>
      </c>
      <c r="L229" s="12" t="s">
        <v>510</v>
      </c>
    </row>
    <row r="230" spans="1:12" ht="26.4" x14ac:dyDescent="0.3">
      <c r="A230" s="10" t="s">
        <v>1026</v>
      </c>
      <c r="B230" s="11" t="s">
        <v>12</v>
      </c>
      <c r="C230" s="11" t="s">
        <v>1027</v>
      </c>
      <c r="D230" s="11" t="s">
        <v>1028</v>
      </c>
      <c r="E230" s="11" t="s">
        <v>1029</v>
      </c>
      <c r="F230" s="11" t="s">
        <v>1030</v>
      </c>
      <c r="G230" s="12" t="s">
        <v>59</v>
      </c>
      <c r="H230" s="12" t="s">
        <v>59</v>
      </c>
      <c r="I230" s="12" t="s">
        <v>508</v>
      </c>
      <c r="J230" s="11" t="s">
        <v>1031</v>
      </c>
      <c r="K230" s="12" t="s">
        <v>62</v>
      </c>
      <c r="L230" s="12" t="s">
        <v>510</v>
      </c>
    </row>
    <row r="231" spans="1:12" ht="26.4" x14ac:dyDescent="0.3">
      <c r="A231" s="10" t="s">
        <v>1032</v>
      </c>
      <c r="B231" s="11" t="s">
        <v>12</v>
      </c>
      <c r="C231" s="11" t="s">
        <v>1027</v>
      </c>
      <c r="D231" s="11" t="s">
        <v>1028</v>
      </c>
      <c r="E231" s="11" t="s">
        <v>1033</v>
      </c>
      <c r="F231" s="11" t="s">
        <v>1030</v>
      </c>
      <c r="G231" s="12" t="s">
        <v>59</v>
      </c>
      <c r="H231" s="12" t="s">
        <v>59</v>
      </c>
      <c r="I231" s="12" t="s">
        <v>508</v>
      </c>
      <c r="J231" s="11" t="s">
        <v>1031</v>
      </c>
      <c r="K231" s="12" t="s">
        <v>62</v>
      </c>
      <c r="L231" s="12" t="s">
        <v>510</v>
      </c>
    </row>
    <row r="232" spans="1:12" ht="26.4" x14ac:dyDescent="0.3">
      <c r="A232" s="10" t="s">
        <v>1034</v>
      </c>
      <c r="B232" s="11" t="s">
        <v>12</v>
      </c>
      <c r="C232" s="11" t="s">
        <v>1035</v>
      </c>
      <c r="D232" s="11" t="s">
        <v>1036</v>
      </c>
      <c r="E232" s="11" t="s">
        <v>1037</v>
      </c>
      <c r="F232" s="11" t="s">
        <v>1038</v>
      </c>
      <c r="G232" s="12" t="s">
        <v>59</v>
      </c>
      <c r="H232" s="12" t="s">
        <v>59</v>
      </c>
      <c r="I232" s="12" t="s">
        <v>508</v>
      </c>
      <c r="J232" s="11" t="s">
        <v>1039</v>
      </c>
      <c r="K232" s="12" t="s">
        <v>62</v>
      </c>
      <c r="L232" s="12" t="s">
        <v>510</v>
      </c>
    </row>
    <row r="233" spans="1:12" ht="26.4" x14ac:dyDescent="0.3">
      <c r="A233" s="10" t="s">
        <v>1040</v>
      </c>
      <c r="B233" s="11" t="s">
        <v>12</v>
      </c>
      <c r="C233" s="11" t="s">
        <v>1041</v>
      </c>
      <c r="D233" s="11" t="s">
        <v>1036</v>
      </c>
      <c r="E233" s="11" t="s">
        <v>998</v>
      </c>
      <c r="F233" s="11" t="s">
        <v>1038</v>
      </c>
      <c r="G233" s="12" t="s">
        <v>59</v>
      </c>
      <c r="H233" s="12" t="s">
        <v>59</v>
      </c>
      <c r="I233" s="12" t="s">
        <v>508</v>
      </c>
      <c r="J233" s="11" t="s">
        <v>1039</v>
      </c>
      <c r="K233" s="12" t="s">
        <v>62</v>
      </c>
      <c r="L233" s="12" t="s">
        <v>510</v>
      </c>
    </row>
    <row r="234" spans="1:12" ht="26.4" x14ac:dyDescent="0.3">
      <c r="A234" s="10" t="s">
        <v>1042</v>
      </c>
      <c r="B234" s="11" t="s">
        <v>12</v>
      </c>
      <c r="C234" s="11" t="s">
        <v>1043</v>
      </c>
      <c r="D234" s="11" t="s">
        <v>1036</v>
      </c>
      <c r="E234" s="11" t="s">
        <v>1003</v>
      </c>
      <c r="F234" s="11" t="s">
        <v>1038</v>
      </c>
      <c r="G234" s="12" t="s">
        <v>59</v>
      </c>
      <c r="H234" s="12" t="s">
        <v>59</v>
      </c>
      <c r="I234" s="12" t="s">
        <v>508</v>
      </c>
      <c r="J234" s="11" t="s">
        <v>1039</v>
      </c>
      <c r="K234" s="12" t="s">
        <v>62</v>
      </c>
      <c r="L234" s="12" t="s">
        <v>510</v>
      </c>
    </row>
    <row r="235" spans="1:12" ht="26.4" x14ac:dyDescent="0.3">
      <c r="A235" s="10" t="s">
        <v>1044</v>
      </c>
      <c r="B235" s="11" t="s">
        <v>12</v>
      </c>
      <c r="C235" s="11" t="s">
        <v>1045</v>
      </c>
      <c r="D235" s="11" t="s">
        <v>1036</v>
      </c>
      <c r="E235" s="11" t="s">
        <v>1046</v>
      </c>
      <c r="F235" s="11" t="s">
        <v>1038</v>
      </c>
      <c r="G235" s="12" t="s">
        <v>59</v>
      </c>
      <c r="H235" s="12" t="s">
        <v>59</v>
      </c>
      <c r="I235" s="12" t="s">
        <v>508</v>
      </c>
      <c r="J235" s="11" t="s">
        <v>1039</v>
      </c>
      <c r="K235" s="12" t="s">
        <v>62</v>
      </c>
      <c r="L235" s="12" t="s">
        <v>510</v>
      </c>
    </row>
    <row r="236" spans="1:12" ht="26.4" x14ac:dyDescent="0.3">
      <c r="A236" s="10" t="s">
        <v>1047</v>
      </c>
      <c r="B236" s="11" t="s">
        <v>12</v>
      </c>
      <c r="C236" s="11" t="s">
        <v>1048</v>
      </c>
      <c r="D236" s="11" t="s">
        <v>1036</v>
      </c>
      <c r="E236" s="11" t="s">
        <v>1049</v>
      </c>
      <c r="F236" s="11" t="s">
        <v>1050</v>
      </c>
      <c r="G236" s="12" t="s">
        <v>59</v>
      </c>
      <c r="H236" s="12" t="s">
        <v>59</v>
      </c>
      <c r="I236" s="12" t="s">
        <v>508</v>
      </c>
      <c r="J236" s="11" t="s">
        <v>1039</v>
      </c>
      <c r="K236" s="12" t="s">
        <v>62</v>
      </c>
      <c r="L236" s="12" t="s">
        <v>510</v>
      </c>
    </row>
    <row r="237" spans="1:12" ht="26.4" x14ac:dyDescent="0.3">
      <c r="A237" s="10" t="s">
        <v>1051</v>
      </c>
      <c r="B237" s="11" t="s">
        <v>12</v>
      </c>
      <c r="C237" s="11" t="s">
        <v>1052</v>
      </c>
      <c r="D237" s="11" t="s">
        <v>1036</v>
      </c>
      <c r="E237" s="11" t="s">
        <v>1010</v>
      </c>
      <c r="F237" s="11" t="s">
        <v>1050</v>
      </c>
      <c r="G237" s="12" t="s">
        <v>59</v>
      </c>
      <c r="H237" s="12" t="s">
        <v>59</v>
      </c>
      <c r="I237" s="12" t="s">
        <v>508</v>
      </c>
      <c r="J237" s="11" t="s">
        <v>1039</v>
      </c>
      <c r="K237" s="12" t="s">
        <v>62</v>
      </c>
      <c r="L237" s="12" t="s">
        <v>510</v>
      </c>
    </row>
    <row r="238" spans="1:12" ht="26.4" x14ac:dyDescent="0.3">
      <c r="A238" s="10" t="s">
        <v>1053</v>
      </c>
      <c r="B238" s="11" t="s">
        <v>12</v>
      </c>
      <c r="C238" s="11" t="s">
        <v>1054</v>
      </c>
      <c r="D238" s="11" t="s">
        <v>1036</v>
      </c>
      <c r="E238" s="11" t="s">
        <v>1055</v>
      </c>
      <c r="F238" s="11" t="s">
        <v>1050</v>
      </c>
      <c r="G238" s="12" t="s">
        <v>59</v>
      </c>
      <c r="H238" s="12" t="s">
        <v>59</v>
      </c>
      <c r="I238" s="12" t="s">
        <v>508</v>
      </c>
      <c r="J238" s="11" t="s">
        <v>1039</v>
      </c>
      <c r="K238" s="12" t="s">
        <v>62</v>
      </c>
      <c r="L238" s="12" t="s">
        <v>510</v>
      </c>
    </row>
    <row r="239" spans="1:12" ht="26.4" x14ac:dyDescent="0.3">
      <c r="A239" s="10" t="s">
        <v>1056</v>
      </c>
      <c r="B239" s="11" t="s">
        <v>12</v>
      </c>
      <c r="C239" s="11" t="s">
        <v>1057</v>
      </c>
      <c r="D239" s="11" t="s">
        <v>1036</v>
      </c>
      <c r="E239" s="11" t="s">
        <v>1058</v>
      </c>
      <c r="F239" s="11" t="s">
        <v>1038</v>
      </c>
      <c r="G239" s="12" t="s">
        <v>59</v>
      </c>
      <c r="H239" s="12" t="s">
        <v>59</v>
      </c>
      <c r="I239" s="12" t="s">
        <v>508</v>
      </c>
      <c r="J239" s="11" t="s">
        <v>1039</v>
      </c>
      <c r="K239" s="12" t="s">
        <v>62</v>
      </c>
      <c r="L239" s="12" t="s">
        <v>510</v>
      </c>
    </row>
    <row r="240" spans="1:12" ht="26.4" x14ac:dyDescent="0.3">
      <c r="A240" s="10" t="s">
        <v>1059</v>
      </c>
      <c r="B240" s="11" t="s">
        <v>12</v>
      </c>
      <c r="C240" s="11" t="s">
        <v>1060</v>
      </c>
      <c r="D240" s="11" t="s">
        <v>1036</v>
      </c>
      <c r="E240" s="11" t="s">
        <v>1061</v>
      </c>
      <c r="F240" s="11" t="s">
        <v>1038</v>
      </c>
      <c r="G240" s="12" t="s">
        <v>59</v>
      </c>
      <c r="H240" s="12" t="s">
        <v>59</v>
      </c>
      <c r="I240" s="12" t="s">
        <v>508</v>
      </c>
      <c r="J240" s="11" t="s">
        <v>1039</v>
      </c>
      <c r="K240" s="12" t="s">
        <v>62</v>
      </c>
      <c r="L240" s="12" t="s">
        <v>510</v>
      </c>
    </row>
    <row r="241" spans="1:12" ht="26.4" x14ac:dyDescent="0.3">
      <c r="A241" s="10" t="s">
        <v>1062</v>
      </c>
      <c r="B241" s="11" t="s">
        <v>12</v>
      </c>
      <c r="C241" s="11" t="s">
        <v>1063</v>
      </c>
      <c r="D241" s="11" t="s">
        <v>1036</v>
      </c>
      <c r="E241" s="11" t="s">
        <v>1064</v>
      </c>
      <c r="F241" s="11" t="s">
        <v>1038</v>
      </c>
      <c r="G241" s="12" t="s">
        <v>59</v>
      </c>
      <c r="H241" s="12" t="s">
        <v>59</v>
      </c>
      <c r="I241" s="12" t="s">
        <v>508</v>
      </c>
      <c r="J241" s="11" t="s">
        <v>1039</v>
      </c>
      <c r="K241" s="12" t="s">
        <v>62</v>
      </c>
      <c r="L241" s="12" t="s">
        <v>510</v>
      </c>
    </row>
    <row r="242" spans="1:12" ht="26.4" x14ac:dyDescent="0.3">
      <c r="A242" s="10" t="s">
        <v>1065</v>
      </c>
      <c r="B242" s="11" t="s">
        <v>12</v>
      </c>
      <c r="C242" s="11" t="s">
        <v>1066</v>
      </c>
      <c r="D242" s="11" t="s">
        <v>1036</v>
      </c>
      <c r="E242" s="11" t="s">
        <v>1067</v>
      </c>
      <c r="F242" s="11" t="s">
        <v>1038</v>
      </c>
      <c r="G242" s="12" t="s">
        <v>59</v>
      </c>
      <c r="H242" s="12" t="s">
        <v>59</v>
      </c>
      <c r="I242" s="12" t="s">
        <v>508</v>
      </c>
      <c r="J242" s="11" t="s">
        <v>1039</v>
      </c>
      <c r="K242" s="12" t="s">
        <v>62</v>
      </c>
      <c r="L242" s="12" t="s">
        <v>510</v>
      </c>
    </row>
    <row r="243" spans="1:12" ht="26.4" x14ac:dyDescent="0.3">
      <c r="A243" s="10" t="s">
        <v>1068</v>
      </c>
      <c r="B243" s="11" t="s">
        <v>12</v>
      </c>
      <c r="C243" s="11" t="s">
        <v>1069</v>
      </c>
      <c r="D243" s="11" t="s">
        <v>1036</v>
      </c>
      <c r="E243" s="11" t="s">
        <v>1070</v>
      </c>
      <c r="F243" s="11" t="s">
        <v>1050</v>
      </c>
      <c r="G243" s="12" t="s">
        <v>59</v>
      </c>
      <c r="H243" s="12" t="s">
        <v>59</v>
      </c>
      <c r="I243" s="12" t="s">
        <v>508</v>
      </c>
      <c r="J243" s="11" t="s">
        <v>1039</v>
      </c>
      <c r="K243" s="12" t="s">
        <v>62</v>
      </c>
      <c r="L243" s="12" t="s">
        <v>510</v>
      </c>
    </row>
    <row r="244" spans="1:12" ht="26.4" x14ac:dyDescent="0.3">
      <c r="A244" s="10" t="s">
        <v>1071</v>
      </c>
      <c r="B244" s="11" t="s">
        <v>12</v>
      </c>
      <c r="C244" s="11" t="s">
        <v>1072</v>
      </c>
      <c r="D244" s="11" t="s">
        <v>1036</v>
      </c>
      <c r="E244" s="11" t="s">
        <v>1073</v>
      </c>
      <c r="F244" s="11" t="s">
        <v>1050</v>
      </c>
      <c r="G244" s="12" t="s">
        <v>59</v>
      </c>
      <c r="H244" s="12" t="s">
        <v>59</v>
      </c>
      <c r="I244" s="12" t="s">
        <v>508</v>
      </c>
      <c r="J244" s="11" t="s">
        <v>1039</v>
      </c>
      <c r="K244" s="12" t="s">
        <v>62</v>
      </c>
      <c r="L244" s="12" t="s">
        <v>510</v>
      </c>
    </row>
    <row r="245" spans="1:12" ht="26.4" x14ac:dyDescent="0.3">
      <c r="A245" s="10" t="s">
        <v>1074</v>
      </c>
      <c r="B245" s="11" t="s">
        <v>12</v>
      </c>
      <c r="C245" s="11" t="s">
        <v>1075</v>
      </c>
      <c r="D245" s="11" t="s">
        <v>1036</v>
      </c>
      <c r="E245" s="11" t="s">
        <v>1076</v>
      </c>
      <c r="F245" s="11" t="s">
        <v>1050</v>
      </c>
      <c r="G245" s="12" t="s">
        <v>59</v>
      </c>
      <c r="H245" s="12" t="s">
        <v>59</v>
      </c>
      <c r="I245" s="12" t="s">
        <v>508</v>
      </c>
      <c r="J245" s="11" t="s">
        <v>1039</v>
      </c>
      <c r="K245" s="12" t="s">
        <v>62</v>
      </c>
      <c r="L245" s="12" t="s">
        <v>510</v>
      </c>
    </row>
    <row r="246" spans="1:12" ht="26.4" x14ac:dyDescent="0.3">
      <c r="A246" s="10" t="s">
        <v>1077</v>
      </c>
      <c r="B246" s="11" t="s">
        <v>12</v>
      </c>
      <c r="C246" s="11" t="s">
        <v>1078</v>
      </c>
      <c r="D246" s="11" t="s">
        <v>1036</v>
      </c>
      <c r="E246" s="11" t="s">
        <v>1079</v>
      </c>
      <c r="F246" s="11" t="s">
        <v>1038</v>
      </c>
      <c r="G246" s="12" t="s">
        <v>59</v>
      </c>
      <c r="H246" s="12" t="s">
        <v>59</v>
      </c>
      <c r="I246" s="12" t="s">
        <v>508</v>
      </c>
      <c r="J246" s="11" t="s">
        <v>1039</v>
      </c>
      <c r="K246" s="12" t="s">
        <v>62</v>
      </c>
      <c r="L246" s="12" t="s">
        <v>510</v>
      </c>
    </row>
    <row r="247" spans="1:12" ht="26.4" x14ac:dyDescent="0.3">
      <c r="A247" s="10" t="s">
        <v>1080</v>
      </c>
      <c r="B247" s="11" t="s">
        <v>12</v>
      </c>
      <c r="C247" s="11" t="s">
        <v>1081</v>
      </c>
      <c r="D247" s="11" t="s">
        <v>1036</v>
      </c>
      <c r="E247" s="11" t="s">
        <v>1082</v>
      </c>
      <c r="F247" s="11" t="s">
        <v>1038</v>
      </c>
      <c r="G247" s="12" t="s">
        <v>59</v>
      </c>
      <c r="H247" s="12" t="s">
        <v>59</v>
      </c>
      <c r="I247" s="12" t="s">
        <v>508</v>
      </c>
      <c r="J247" s="11" t="s">
        <v>1039</v>
      </c>
      <c r="K247" s="12" t="s">
        <v>62</v>
      </c>
      <c r="L247" s="12" t="s">
        <v>510</v>
      </c>
    </row>
    <row r="248" spans="1:12" ht="26.4" x14ac:dyDescent="0.3">
      <c r="A248" s="10" t="s">
        <v>1083</v>
      </c>
      <c r="B248" s="11" t="s">
        <v>12</v>
      </c>
      <c r="C248" s="11" t="s">
        <v>1084</v>
      </c>
      <c r="D248" s="11" t="s">
        <v>1036</v>
      </c>
      <c r="E248" s="11" t="s">
        <v>1085</v>
      </c>
      <c r="F248" s="11" t="s">
        <v>1038</v>
      </c>
      <c r="G248" s="12" t="s">
        <v>59</v>
      </c>
      <c r="H248" s="12" t="s">
        <v>59</v>
      </c>
      <c r="I248" s="12" t="s">
        <v>508</v>
      </c>
      <c r="J248" s="11" t="s">
        <v>1039</v>
      </c>
      <c r="K248" s="12" t="s">
        <v>62</v>
      </c>
      <c r="L248" s="12" t="s">
        <v>510</v>
      </c>
    </row>
    <row r="249" spans="1:12" ht="26.4" x14ac:dyDescent="0.3">
      <c r="A249" s="10" t="s">
        <v>1086</v>
      </c>
      <c r="B249" s="11" t="s">
        <v>12</v>
      </c>
      <c r="C249" s="11" t="s">
        <v>1087</v>
      </c>
      <c r="D249" s="11" t="s">
        <v>1036</v>
      </c>
      <c r="E249" s="11" t="s">
        <v>1088</v>
      </c>
      <c r="F249" s="11" t="s">
        <v>1038</v>
      </c>
      <c r="G249" s="12" t="s">
        <v>59</v>
      </c>
      <c r="H249" s="12" t="s">
        <v>59</v>
      </c>
      <c r="I249" s="12" t="s">
        <v>508</v>
      </c>
      <c r="J249" s="11" t="s">
        <v>1039</v>
      </c>
      <c r="K249" s="12" t="s">
        <v>62</v>
      </c>
      <c r="L249" s="12" t="s">
        <v>510</v>
      </c>
    </row>
    <row r="250" spans="1:12" ht="26.4" x14ac:dyDescent="0.3">
      <c r="A250" s="10" t="s">
        <v>1089</v>
      </c>
      <c r="B250" s="11" t="s">
        <v>12</v>
      </c>
      <c r="C250" s="11" t="s">
        <v>1090</v>
      </c>
      <c r="D250" s="11" t="s">
        <v>1036</v>
      </c>
      <c r="E250" s="11" t="s">
        <v>1091</v>
      </c>
      <c r="F250" s="11" t="s">
        <v>1038</v>
      </c>
      <c r="G250" s="12" t="s">
        <v>59</v>
      </c>
      <c r="H250" s="12" t="s">
        <v>59</v>
      </c>
      <c r="I250" s="12" t="s">
        <v>508</v>
      </c>
      <c r="J250" s="11" t="s">
        <v>1039</v>
      </c>
      <c r="K250" s="12" t="s">
        <v>62</v>
      </c>
      <c r="L250" s="12" t="s">
        <v>510</v>
      </c>
    </row>
    <row r="251" spans="1:12" ht="26.4" x14ac:dyDescent="0.3">
      <c r="A251" s="10" t="s">
        <v>1092</v>
      </c>
      <c r="B251" s="11" t="s">
        <v>12</v>
      </c>
      <c r="C251" s="11" t="s">
        <v>1093</v>
      </c>
      <c r="D251" s="11" t="s">
        <v>1036</v>
      </c>
      <c r="E251" s="11" t="s">
        <v>1094</v>
      </c>
      <c r="F251" s="11" t="s">
        <v>1038</v>
      </c>
      <c r="G251" s="12" t="s">
        <v>59</v>
      </c>
      <c r="H251" s="12" t="s">
        <v>59</v>
      </c>
      <c r="I251" s="12" t="s">
        <v>508</v>
      </c>
      <c r="J251" s="11" t="s">
        <v>1039</v>
      </c>
      <c r="K251" s="12" t="s">
        <v>62</v>
      </c>
      <c r="L251" s="12" t="s">
        <v>510</v>
      </c>
    </row>
    <row r="252" spans="1:12" ht="26.4" x14ac:dyDescent="0.3">
      <c r="A252" s="10" t="s">
        <v>1095</v>
      </c>
      <c r="B252" s="11" t="s">
        <v>12</v>
      </c>
      <c r="C252" s="11" t="s">
        <v>1096</v>
      </c>
      <c r="D252" s="11" t="s">
        <v>1036</v>
      </c>
      <c r="E252" s="11" t="s">
        <v>1097</v>
      </c>
      <c r="F252" s="11" t="s">
        <v>1038</v>
      </c>
      <c r="G252" s="12" t="s">
        <v>59</v>
      </c>
      <c r="H252" s="12" t="s">
        <v>59</v>
      </c>
      <c r="I252" s="12" t="s">
        <v>508</v>
      </c>
      <c r="J252" s="11" t="s">
        <v>1039</v>
      </c>
      <c r="K252" s="12" t="s">
        <v>62</v>
      </c>
      <c r="L252" s="12" t="s">
        <v>510</v>
      </c>
    </row>
    <row r="253" spans="1:12" ht="26.4" x14ac:dyDescent="0.3">
      <c r="A253" s="10" t="s">
        <v>1098</v>
      </c>
      <c r="B253" s="11" t="s">
        <v>12</v>
      </c>
      <c r="C253" s="11" t="s">
        <v>1099</v>
      </c>
      <c r="D253" s="11" t="s">
        <v>1036</v>
      </c>
      <c r="E253" s="11" t="s">
        <v>1100</v>
      </c>
      <c r="F253" s="11" t="s">
        <v>1038</v>
      </c>
      <c r="G253" s="12" t="s">
        <v>59</v>
      </c>
      <c r="H253" s="12" t="s">
        <v>59</v>
      </c>
      <c r="I253" s="12" t="s">
        <v>508</v>
      </c>
      <c r="J253" s="11" t="s">
        <v>1039</v>
      </c>
      <c r="K253" s="12" t="s">
        <v>62</v>
      </c>
      <c r="L253" s="12" t="s">
        <v>510</v>
      </c>
    </row>
    <row r="254" spans="1:12" ht="26.4" x14ac:dyDescent="0.3">
      <c r="A254" s="10" t="s">
        <v>1101</v>
      </c>
      <c r="B254" s="11" t="s">
        <v>12</v>
      </c>
      <c r="C254" s="11" t="s">
        <v>1102</v>
      </c>
      <c r="D254" s="11" t="s">
        <v>1036</v>
      </c>
      <c r="E254" s="11" t="s">
        <v>1103</v>
      </c>
      <c r="F254" s="11" t="s">
        <v>1038</v>
      </c>
      <c r="G254" s="12" t="s">
        <v>59</v>
      </c>
      <c r="H254" s="12" t="s">
        <v>59</v>
      </c>
      <c r="I254" s="12" t="s">
        <v>508</v>
      </c>
      <c r="J254" s="11" t="s">
        <v>1039</v>
      </c>
      <c r="K254" s="12" t="s">
        <v>62</v>
      </c>
      <c r="L254" s="12" t="s">
        <v>510</v>
      </c>
    </row>
    <row r="255" spans="1:12" ht="26.4" x14ac:dyDescent="0.3">
      <c r="A255" s="10" t="s">
        <v>1104</v>
      </c>
      <c r="B255" s="11" t="s">
        <v>12</v>
      </c>
      <c r="C255" s="11" t="s">
        <v>1105</v>
      </c>
      <c r="D255" s="11" t="s">
        <v>1106</v>
      </c>
      <c r="E255" s="11" t="s">
        <v>1107</v>
      </c>
      <c r="F255" s="11" t="s">
        <v>1108</v>
      </c>
      <c r="G255" s="12" t="s">
        <v>59</v>
      </c>
      <c r="H255" s="12" t="s">
        <v>59</v>
      </c>
      <c r="I255" s="12" t="s">
        <v>508</v>
      </c>
      <c r="J255" s="11" t="s">
        <v>1109</v>
      </c>
      <c r="K255" s="12" t="s">
        <v>62</v>
      </c>
      <c r="L255" s="12" t="s">
        <v>510</v>
      </c>
    </row>
    <row r="256" spans="1:12" ht="26.4" x14ac:dyDescent="0.3">
      <c r="A256" s="10" t="s">
        <v>1110</v>
      </c>
      <c r="B256" s="11" t="s">
        <v>12</v>
      </c>
      <c r="C256" s="11" t="s">
        <v>1111</v>
      </c>
      <c r="D256" s="11" t="s">
        <v>1106</v>
      </c>
      <c r="E256" s="11" t="s">
        <v>1112</v>
      </c>
      <c r="F256" s="11" t="s">
        <v>1108</v>
      </c>
      <c r="G256" s="12" t="s">
        <v>59</v>
      </c>
      <c r="H256" s="12" t="s">
        <v>59</v>
      </c>
      <c r="I256" s="12" t="s">
        <v>508</v>
      </c>
      <c r="J256" s="11" t="s">
        <v>1109</v>
      </c>
      <c r="K256" s="12" t="s">
        <v>62</v>
      </c>
      <c r="L256" s="12" t="s">
        <v>510</v>
      </c>
    </row>
    <row r="257" spans="1:12" ht="26.4" x14ac:dyDescent="0.3">
      <c r="A257" s="10" t="s">
        <v>1113</v>
      </c>
      <c r="B257" s="11" t="s">
        <v>12</v>
      </c>
      <c r="C257" s="11" t="s">
        <v>1114</v>
      </c>
      <c r="D257" s="11" t="s">
        <v>1106</v>
      </c>
      <c r="E257" s="11" t="s">
        <v>1115</v>
      </c>
      <c r="F257" s="11" t="s">
        <v>1108</v>
      </c>
      <c r="G257" s="12" t="s">
        <v>59</v>
      </c>
      <c r="H257" s="12" t="s">
        <v>59</v>
      </c>
      <c r="I257" s="12" t="s">
        <v>508</v>
      </c>
      <c r="J257" s="11" t="s">
        <v>1109</v>
      </c>
      <c r="K257" s="12" t="s">
        <v>62</v>
      </c>
      <c r="L257" s="12" t="s">
        <v>510</v>
      </c>
    </row>
    <row r="258" spans="1:12" ht="26.4" x14ac:dyDescent="0.3">
      <c r="A258" s="10" t="s">
        <v>1116</v>
      </c>
      <c r="B258" s="11" t="s">
        <v>12</v>
      </c>
      <c r="C258" s="11" t="s">
        <v>1117</v>
      </c>
      <c r="D258" s="11" t="s">
        <v>1106</v>
      </c>
      <c r="E258" s="11" t="s">
        <v>1118</v>
      </c>
      <c r="F258" s="11" t="s">
        <v>1108</v>
      </c>
      <c r="G258" s="12" t="s">
        <v>59</v>
      </c>
      <c r="H258" s="12" t="s">
        <v>59</v>
      </c>
      <c r="I258" s="12" t="s">
        <v>508</v>
      </c>
      <c r="J258" s="11" t="s">
        <v>1109</v>
      </c>
      <c r="K258" s="12" t="s">
        <v>62</v>
      </c>
      <c r="L258" s="12" t="s">
        <v>510</v>
      </c>
    </row>
    <row r="259" spans="1:12" ht="26.4" x14ac:dyDescent="0.3">
      <c r="A259" s="10" t="s">
        <v>1119</v>
      </c>
      <c r="B259" s="11" t="s">
        <v>12</v>
      </c>
      <c r="C259" s="11" t="s">
        <v>1120</v>
      </c>
      <c r="D259" s="11" t="s">
        <v>1106</v>
      </c>
      <c r="E259" s="11" t="s">
        <v>1121</v>
      </c>
      <c r="F259" s="11" t="s">
        <v>1122</v>
      </c>
      <c r="G259" s="12" t="s">
        <v>59</v>
      </c>
      <c r="H259" s="12" t="s">
        <v>59</v>
      </c>
      <c r="I259" s="12" t="s">
        <v>508</v>
      </c>
      <c r="J259" s="11" t="s">
        <v>1109</v>
      </c>
      <c r="K259" s="12" t="s">
        <v>62</v>
      </c>
      <c r="L259" s="12" t="s">
        <v>510</v>
      </c>
    </row>
    <row r="260" spans="1:12" ht="26.4" x14ac:dyDescent="0.3">
      <c r="A260" s="10" t="s">
        <v>1123</v>
      </c>
      <c r="B260" s="11" t="s">
        <v>12</v>
      </c>
      <c r="C260" s="11" t="s">
        <v>1124</v>
      </c>
      <c r="D260" s="11" t="s">
        <v>1106</v>
      </c>
      <c r="E260" s="11" t="s">
        <v>1125</v>
      </c>
      <c r="F260" s="11" t="s">
        <v>1122</v>
      </c>
      <c r="G260" s="12" t="s">
        <v>59</v>
      </c>
      <c r="H260" s="12" t="s">
        <v>59</v>
      </c>
      <c r="I260" s="12" t="s">
        <v>508</v>
      </c>
      <c r="J260" s="11" t="s">
        <v>1109</v>
      </c>
      <c r="K260" s="12" t="s">
        <v>62</v>
      </c>
      <c r="L260" s="12" t="s">
        <v>510</v>
      </c>
    </row>
    <row r="261" spans="1:12" ht="26.4" x14ac:dyDescent="0.3">
      <c r="A261" s="10" t="s">
        <v>1126</v>
      </c>
      <c r="B261" s="11" t="s">
        <v>12</v>
      </c>
      <c r="C261" s="11" t="s">
        <v>1127</v>
      </c>
      <c r="D261" s="11" t="s">
        <v>1106</v>
      </c>
      <c r="E261" s="11" t="s">
        <v>1128</v>
      </c>
      <c r="F261" s="11" t="s">
        <v>1122</v>
      </c>
      <c r="G261" s="12" t="s">
        <v>59</v>
      </c>
      <c r="H261" s="12" t="s">
        <v>59</v>
      </c>
      <c r="I261" s="12" t="s">
        <v>508</v>
      </c>
      <c r="J261" s="11" t="s">
        <v>1109</v>
      </c>
      <c r="K261" s="12" t="s">
        <v>62</v>
      </c>
      <c r="L261" s="12" t="s">
        <v>510</v>
      </c>
    </row>
    <row r="262" spans="1:12" ht="26.4" x14ac:dyDescent="0.3">
      <c r="A262" s="10" t="s">
        <v>1129</v>
      </c>
      <c r="B262" s="11" t="s">
        <v>12</v>
      </c>
      <c r="C262" s="11" t="s">
        <v>1130</v>
      </c>
      <c r="D262" s="11" t="s">
        <v>1106</v>
      </c>
      <c r="E262" s="11" t="s">
        <v>1131</v>
      </c>
      <c r="F262" s="11" t="s">
        <v>1108</v>
      </c>
      <c r="G262" s="12" t="s">
        <v>59</v>
      </c>
      <c r="H262" s="12" t="s">
        <v>59</v>
      </c>
      <c r="I262" s="12" t="s">
        <v>508</v>
      </c>
      <c r="J262" s="11" t="s">
        <v>1109</v>
      </c>
      <c r="K262" s="12" t="s">
        <v>62</v>
      </c>
      <c r="L262" s="12" t="s">
        <v>510</v>
      </c>
    </row>
    <row r="263" spans="1:12" ht="26.4" x14ac:dyDescent="0.3">
      <c r="A263" s="10" t="s">
        <v>1132</v>
      </c>
      <c r="B263" s="11" t="s">
        <v>12</v>
      </c>
      <c r="C263" s="11" t="s">
        <v>1133</v>
      </c>
      <c r="D263" s="11" t="s">
        <v>1106</v>
      </c>
      <c r="E263" s="11" t="s">
        <v>1134</v>
      </c>
      <c r="F263" s="11" t="s">
        <v>1122</v>
      </c>
      <c r="G263" s="12" t="s">
        <v>59</v>
      </c>
      <c r="H263" s="12" t="s">
        <v>59</v>
      </c>
      <c r="I263" s="12" t="s">
        <v>508</v>
      </c>
      <c r="J263" s="11" t="s">
        <v>1109</v>
      </c>
      <c r="K263" s="12" t="s">
        <v>62</v>
      </c>
      <c r="L263" s="12" t="s">
        <v>510</v>
      </c>
    </row>
    <row r="264" spans="1:12" ht="26.4" x14ac:dyDescent="0.3">
      <c r="A264" s="10" t="s">
        <v>1135</v>
      </c>
      <c r="B264" s="11" t="s">
        <v>12</v>
      </c>
      <c r="C264" s="11" t="s">
        <v>1136</v>
      </c>
      <c r="D264" s="11" t="s">
        <v>1106</v>
      </c>
      <c r="E264" s="11" t="s">
        <v>1137</v>
      </c>
      <c r="F264" s="11" t="s">
        <v>1122</v>
      </c>
      <c r="G264" s="12" t="s">
        <v>59</v>
      </c>
      <c r="H264" s="12" t="s">
        <v>59</v>
      </c>
      <c r="I264" s="12" t="s">
        <v>508</v>
      </c>
      <c r="J264" s="11" t="s">
        <v>1109</v>
      </c>
      <c r="K264" s="12" t="s">
        <v>62</v>
      </c>
      <c r="L264" s="12" t="s">
        <v>510</v>
      </c>
    </row>
    <row r="265" spans="1:12" ht="26.4" x14ac:dyDescent="0.3">
      <c r="A265" s="10" t="s">
        <v>1138</v>
      </c>
      <c r="B265" s="11" t="s">
        <v>12</v>
      </c>
      <c r="C265" s="11" t="s">
        <v>1139</v>
      </c>
      <c r="D265" s="11" t="s">
        <v>1106</v>
      </c>
      <c r="E265" s="11" t="s">
        <v>1140</v>
      </c>
      <c r="F265" s="11" t="s">
        <v>1122</v>
      </c>
      <c r="G265" s="12" t="s">
        <v>59</v>
      </c>
      <c r="H265" s="12" t="s">
        <v>59</v>
      </c>
      <c r="I265" s="12" t="s">
        <v>508</v>
      </c>
      <c r="J265" s="11" t="s">
        <v>1109</v>
      </c>
      <c r="K265" s="12" t="s">
        <v>62</v>
      </c>
      <c r="L265" s="12" t="s">
        <v>510</v>
      </c>
    </row>
    <row r="266" spans="1:12" ht="26.4" x14ac:dyDescent="0.3">
      <c r="A266" s="10" t="s">
        <v>1141</v>
      </c>
      <c r="B266" s="11" t="s">
        <v>12</v>
      </c>
      <c r="C266" s="11" t="s">
        <v>1142</v>
      </c>
      <c r="D266" s="11" t="s">
        <v>1106</v>
      </c>
      <c r="E266" s="11" t="s">
        <v>1143</v>
      </c>
      <c r="F266" s="11" t="s">
        <v>1108</v>
      </c>
      <c r="G266" s="12" t="s">
        <v>59</v>
      </c>
      <c r="H266" s="12" t="s">
        <v>59</v>
      </c>
      <c r="I266" s="12" t="s">
        <v>508</v>
      </c>
      <c r="J266" s="11" t="s">
        <v>1109</v>
      </c>
      <c r="K266" s="12" t="s">
        <v>62</v>
      </c>
      <c r="L266" s="12" t="s">
        <v>510</v>
      </c>
    </row>
    <row r="267" spans="1:12" ht="39.6" x14ac:dyDescent="0.3">
      <c r="A267" s="10" t="s">
        <v>1144</v>
      </c>
      <c r="B267" s="11" t="s">
        <v>12</v>
      </c>
      <c r="C267" s="11" t="s">
        <v>1145</v>
      </c>
      <c r="D267" s="11" t="s">
        <v>1146</v>
      </c>
      <c r="E267" s="11" t="s">
        <v>1147</v>
      </c>
      <c r="F267" s="11" t="s">
        <v>1148</v>
      </c>
      <c r="G267" s="12" t="s">
        <v>59</v>
      </c>
      <c r="H267" s="12" t="s">
        <v>59</v>
      </c>
      <c r="I267" s="12" t="s">
        <v>508</v>
      </c>
      <c r="J267" s="11" t="s">
        <v>1149</v>
      </c>
      <c r="K267" s="12" t="s">
        <v>62</v>
      </c>
      <c r="L267" s="12" t="s">
        <v>510</v>
      </c>
    </row>
    <row r="268" spans="1:12" ht="39.6" x14ac:dyDescent="0.3">
      <c r="A268" s="10" t="s">
        <v>1150</v>
      </c>
      <c r="B268" s="11" t="s">
        <v>12</v>
      </c>
      <c r="C268" s="11" t="s">
        <v>1151</v>
      </c>
      <c r="D268" s="11" t="s">
        <v>1146</v>
      </c>
      <c r="E268" s="11" t="s">
        <v>1152</v>
      </c>
      <c r="F268" s="11" t="s">
        <v>1153</v>
      </c>
      <c r="G268" s="12" t="s">
        <v>59</v>
      </c>
      <c r="H268" s="12" t="s">
        <v>59</v>
      </c>
      <c r="I268" s="12" t="s">
        <v>508</v>
      </c>
      <c r="J268" s="11" t="s">
        <v>1149</v>
      </c>
      <c r="K268" s="12" t="s">
        <v>62</v>
      </c>
      <c r="L268" s="12" t="s">
        <v>510</v>
      </c>
    </row>
    <row r="269" spans="1:12" ht="39.6" x14ac:dyDescent="0.3">
      <c r="A269" s="10" t="s">
        <v>1154</v>
      </c>
      <c r="B269" s="11" t="s">
        <v>12</v>
      </c>
      <c r="C269" s="11" t="s">
        <v>1155</v>
      </c>
      <c r="D269" s="11" t="s">
        <v>1146</v>
      </c>
      <c r="E269" s="11" t="s">
        <v>1156</v>
      </c>
      <c r="F269" s="11" t="s">
        <v>1157</v>
      </c>
      <c r="G269" s="12" t="s">
        <v>59</v>
      </c>
      <c r="H269" s="12" t="s">
        <v>59</v>
      </c>
      <c r="I269" s="12" t="s">
        <v>508</v>
      </c>
      <c r="J269" s="11" t="s">
        <v>1149</v>
      </c>
      <c r="K269" s="12" t="s">
        <v>62</v>
      </c>
      <c r="L269" s="12" t="s">
        <v>510</v>
      </c>
    </row>
    <row r="270" spans="1:12" ht="39.6" x14ac:dyDescent="0.3">
      <c r="A270" s="10" t="s">
        <v>1158</v>
      </c>
      <c r="B270" s="11" t="s">
        <v>12</v>
      </c>
      <c r="C270" s="11" t="s">
        <v>1159</v>
      </c>
      <c r="D270" s="11" t="s">
        <v>1146</v>
      </c>
      <c r="E270" s="11" t="s">
        <v>1160</v>
      </c>
      <c r="F270" s="11" t="s">
        <v>716</v>
      </c>
      <c r="G270" s="12" t="s">
        <v>59</v>
      </c>
      <c r="H270" s="12" t="s">
        <v>59</v>
      </c>
      <c r="I270" s="12" t="s">
        <v>508</v>
      </c>
      <c r="J270" s="11" t="s">
        <v>1149</v>
      </c>
      <c r="K270" s="12" t="s">
        <v>62</v>
      </c>
      <c r="L270" s="12" t="s">
        <v>510</v>
      </c>
    </row>
    <row r="271" spans="1:12" ht="39.6" x14ac:dyDescent="0.3">
      <c r="A271" s="10" t="s">
        <v>1161</v>
      </c>
      <c r="B271" s="11" t="s">
        <v>12</v>
      </c>
      <c r="C271" s="11" t="s">
        <v>1162</v>
      </c>
      <c r="D271" s="11" t="s">
        <v>1146</v>
      </c>
      <c r="E271" s="11" t="s">
        <v>1163</v>
      </c>
      <c r="F271" s="11" t="s">
        <v>1164</v>
      </c>
      <c r="G271" s="12" t="s">
        <v>59</v>
      </c>
      <c r="H271" s="12" t="s">
        <v>59</v>
      </c>
      <c r="I271" s="12" t="s">
        <v>508</v>
      </c>
      <c r="J271" s="11" t="s">
        <v>1149</v>
      </c>
      <c r="K271" s="12" t="s">
        <v>62</v>
      </c>
      <c r="L271" s="12" t="s">
        <v>510</v>
      </c>
    </row>
    <row r="272" spans="1:12" ht="39.6" x14ac:dyDescent="0.3">
      <c r="A272" s="10" t="s">
        <v>1165</v>
      </c>
      <c r="B272" s="11" t="s">
        <v>12</v>
      </c>
      <c r="C272" s="11" t="s">
        <v>1166</v>
      </c>
      <c r="D272" s="11" t="s">
        <v>1146</v>
      </c>
      <c r="E272" s="11" t="s">
        <v>1167</v>
      </c>
      <c r="F272" s="11" t="s">
        <v>1168</v>
      </c>
      <c r="G272" s="12" t="s">
        <v>59</v>
      </c>
      <c r="H272" s="12" t="s">
        <v>59</v>
      </c>
      <c r="I272" s="12" t="s">
        <v>508</v>
      </c>
      <c r="J272" s="11" t="s">
        <v>1149</v>
      </c>
      <c r="K272" s="12" t="s">
        <v>62</v>
      </c>
      <c r="L272" s="12" t="s">
        <v>510</v>
      </c>
    </row>
    <row r="273" spans="1:12" ht="39.6" x14ac:dyDescent="0.3">
      <c r="A273" s="10" t="s">
        <v>1169</v>
      </c>
      <c r="B273" s="11" t="s">
        <v>12</v>
      </c>
      <c r="C273" s="11" t="s">
        <v>1170</v>
      </c>
      <c r="D273" s="11" t="s">
        <v>1146</v>
      </c>
      <c r="E273" s="11" t="s">
        <v>1171</v>
      </c>
      <c r="F273" s="11" t="s">
        <v>724</v>
      </c>
      <c r="G273" s="12" t="s">
        <v>59</v>
      </c>
      <c r="H273" s="12" t="s">
        <v>59</v>
      </c>
      <c r="I273" s="12" t="s">
        <v>508</v>
      </c>
      <c r="J273" s="11" t="s">
        <v>1149</v>
      </c>
      <c r="K273" s="12" t="s">
        <v>62</v>
      </c>
      <c r="L273" s="12" t="s">
        <v>510</v>
      </c>
    </row>
    <row r="274" spans="1:12" ht="39.6" x14ac:dyDescent="0.3">
      <c r="A274" s="10" t="s">
        <v>1172</v>
      </c>
      <c r="B274" s="11" t="s">
        <v>12</v>
      </c>
      <c r="C274" s="11" t="s">
        <v>1173</v>
      </c>
      <c r="D274" s="11" t="s">
        <v>1146</v>
      </c>
      <c r="E274" s="11" t="s">
        <v>1174</v>
      </c>
      <c r="F274" s="11" t="s">
        <v>1175</v>
      </c>
      <c r="G274" s="12" t="s">
        <v>59</v>
      </c>
      <c r="H274" s="12" t="s">
        <v>59</v>
      </c>
      <c r="I274" s="12" t="s">
        <v>508</v>
      </c>
      <c r="J274" s="11" t="s">
        <v>1149</v>
      </c>
      <c r="K274" s="12" t="s">
        <v>62</v>
      </c>
      <c r="L274" s="12" t="s">
        <v>510</v>
      </c>
    </row>
    <row r="275" spans="1:12" ht="39.6" x14ac:dyDescent="0.3">
      <c r="A275" s="10" t="s">
        <v>1176</v>
      </c>
      <c r="B275" s="11" t="s">
        <v>12</v>
      </c>
      <c r="C275" s="11" t="s">
        <v>1177</v>
      </c>
      <c r="D275" s="11" t="s">
        <v>1146</v>
      </c>
      <c r="E275" s="11" t="s">
        <v>1178</v>
      </c>
      <c r="F275" s="11" t="s">
        <v>1179</v>
      </c>
      <c r="G275" s="12" t="s">
        <v>59</v>
      </c>
      <c r="H275" s="12" t="s">
        <v>59</v>
      </c>
      <c r="I275" s="12" t="s">
        <v>508</v>
      </c>
      <c r="J275" s="11" t="s">
        <v>1149</v>
      </c>
      <c r="K275" s="12" t="s">
        <v>62</v>
      </c>
      <c r="L275" s="12" t="s">
        <v>510</v>
      </c>
    </row>
    <row r="276" spans="1:12" ht="39.6" x14ac:dyDescent="0.3">
      <c r="A276" s="10" t="s">
        <v>1180</v>
      </c>
      <c r="B276" s="11" t="s">
        <v>12</v>
      </c>
      <c r="C276" s="11" t="s">
        <v>1181</v>
      </c>
      <c r="D276" s="11" t="s">
        <v>1146</v>
      </c>
      <c r="E276" s="11" t="s">
        <v>1182</v>
      </c>
      <c r="F276" s="11" t="s">
        <v>1183</v>
      </c>
      <c r="G276" s="12" t="s">
        <v>59</v>
      </c>
      <c r="H276" s="12" t="s">
        <v>59</v>
      </c>
      <c r="I276" s="12" t="s">
        <v>508</v>
      </c>
      <c r="J276" s="11" t="s">
        <v>1149</v>
      </c>
      <c r="K276" s="12" t="s">
        <v>62</v>
      </c>
      <c r="L276" s="12" t="s">
        <v>510</v>
      </c>
    </row>
    <row r="277" spans="1:12" ht="39.6" x14ac:dyDescent="0.3">
      <c r="A277" s="10" t="s">
        <v>1184</v>
      </c>
      <c r="B277" s="11" t="s">
        <v>12</v>
      </c>
      <c r="C277" s="11" t="s">
        <v>1185</v>
      </c>
      <c r="D277" s="11" t="s">
        <v>1146</v>
      </c>
      <c r="E277" s="11" t="s">
        <v>1186</v>
      </c>
      <c r="F277" s="11" t="s">
        <v>1187</v>
      </c>
      <c r="G277" s="12" t="s">
        <v>59</v>
      </c>
      <c r="H277" s="12" t="s">
        <v>59</v>
      </c>
      <c r="I277" s="12" t="s">
        <v>508</v>
      </c>
      <c r="J277" s="11" t="s">
        <v>1149</v>
      </c>
      <c r="K277" s="12" t="s">
        <v>62</v>
      </c>
      <c r="L277" s="12" t="s">
        <v>510</v>
      </c>
    </row>
    <row r="278" spans="1:12" ht="39.6" x14ac:dyDescent="0.3">
      <c r="A278" s="10" t="s">
        <v>1188</v>
      </c>
      <c r="B278" s="11" t="s">
        <v>12</v>
      </c>
      <c r="C278" s="11" t="s">
        <v>1189</v>
      </c>
      <c r="D278" s="11" t="s">
        <v>1146</v>
      </c>
      <c r="E278" s="11" t="s">
        <v>1190</v>
      </c>
      <c r="F278" s="11" t="s">
        <v>1191</v>
      </c>
      <c r="G278" s="12" t="s">
        <v>59</v>
      </c>
      <c r="H278" s="12" t="s">
        <v>59</v>
      </c>
      <c r="I278" s="12" t="s">
        <v>508</v>
      </c>
      <c r="J278" s="11" t="s">
        <v>1149</v>
      </c>
      <c r="K278" s="12" t="s">
        <v>62</v>
      </c>
      <c r="L278" s="12" t="s">
        <v>510</v>
      </c>
    </row>
    <row r="279" spans="1:12" ht="39.6" x14ac:dyDescent="0.3">
      <c r="A279" s="10" t="s">
        <v>1192</v>
      </c>
      <c r="B279" s="11" t="s">
        <v>12</v>
      </c>
      <c r="C279" s="11" t="s">
        <v>1193</v>
      </c>
      <c r="D279" s="11" t="s">
        <v>1146</v>
      </c>
      <c r="E279" s="11" t="s">
        <v>1194</v>
      </c>
      <c r="F279" s="11" t="s">
        <v>740</v>
      </c>
      <c r="G279" s="12" t="s">
        <v>59</v>
      </c>
      <c r="H279" s="12" t="s">
        <v>59</v>
      </c>
      <c r="I279" s="12" t="s">
        <v>508</v>
      </c>
      <c r="J279" s="11" t="s">
        <v>1149</v>
      </c>
      <c r="K279" s="12" t="s">
        <v>62</v>
      </c>
      <c r="L279" s="12" t="s">
        <v>510</v>
      </c>
    </row>
    <row r="280" spans="1:12" ht="39.6" x14ac:dyDescent="0.3">
      <c r="A280" s="10" t="s">
        <v>1195</v>
      </c>
      <c r="B280" s="11" t="s">
        <v>12</v>
      </c>
      <c r="C280" s="11" t="s">
        <v>1196</v>
      </c>
      <c r="D280" s="11" t="s">
        <v>1146</v>
      </c>
      <c r="E280" s="11" t="s">
        <v>1197</v>
      </c>
      <c r="F280" s="11" t="s">
        <v>1198</v>
      </c>
      <c r="G280" s="12" t="s">
        <v>59</v>
      </c>
      <c r="H280" s="12" t="s">
        <v>59</v>
      </c>
      <c r="I280" s="12" t="s">
        <v>508</v>
      </c>
      <c r="J280" s="11" t="s">
        <v>1149</v>
      </c>
      <c r="K280" s="12" t="s">
        <v>62</v>
      </c>
      <c r="L280" s="12" t="s">
        <v>510</v>
      </c>
    </row>
    <row r="281" spans="1:12" ht="39.6" x14ac:dyDescent="0.3">
      <c r="A281" s="10" t="s">
        <v>1199</v>
      </c>
      <c r="B281" s="11" t="s">
        <v>12</v>
      </c>
      <c r="C281" s="11" t="s">
        <v>1200</v>
      </c>
      <c r="D281" s="11" t="s">
        <v>1146</v>
      </c>
      <c r="E281" s="11" t="s">
        <v>1201</v>
      </c>
      <c r="F281" s="11" t="s">
        <v>1202</v>
      </c>
      <c r="G281" s="12" t="s">
        <v>59</v>
      </c>
      <c r="H281" s="12" t="s">
        <v>59</v>
      </c>
      <c r="I281" s="12" t="s">
        <v>508</v>
      </c>
      <c r="J281" s="11" t="s">
        <v>1149</v>
      </c>
      <c r="K281" s="12" t="s">
        <v>62</v>
      </c>
      <c r="L281" s="12" t="s">
        <v>510</v>
      </c>
    </row>
    <row r="282" spans="1:12" ht="39.6" x14ac:dyDescent="0.3">
      <c r="A282" s="10" t="s">
        <v>1203</v>
      </c>
      <c r="B282" s="11" t="s">
        <v>12</v>
      </c>
      <c r="C282" s="11" t="s">
        <v>1204</v>
      </c>
      <c r="D282" s="11" t="s">
        <v>1146</v>
      </c>
      <c r="E282" s="11" t="s">
        <v>1205</v>
      </c>
      <c r="F282" s="11" t="s">
        <v>1206</v>
      </c>
      <c r="G282" s="12" t="s">
        <v>59</v>
      </c>
      <c r="H282" s="12" t="s">
        <v>59</v>
      </c>
      <c r="I282" s="12" t="s">
        <v>508</v>
      </c>
      <c r="J282" s="11" t="s">
        <v>1149</v>
      </c>
      <c r="K282" s="12" t="s">
        <v>62</v>
      </c>
      <c r="L282" s="12" t="s">
        <v>510</v>
      </c>
    </row>
    <row r="283" spans="1:12" ht="39.6" x14ac:dyDescent="0.3">
      <c r="A283" s="10" t="s">
        <v>1207</v>
      </c>
      <c r="B283" s="11" t="s">
        <v>12</v>
      </c>
      <c r="C283" s="11" t="s">
        <v>1208</v>
      </c>
      <c r="D283" s="11" t="s">
        <v>1146</v>
      </c>
      <c r="E283" s="11" t="s">
        <v>1209</v>
      </c>
      <c r="F283" s="11" t="s">
        <v>1210</v>
      </c>
      <c r="G283" s="12" t="s">
        <v>59</v>
      </c>
      <c r="H283" s="12" t="s">
        <v>59</v>
      </c>
      <c r="I283" s="12" t="s">
        <v>508</v>
      </c>
      <c r="J283" s="11" t="s">
        <v>1149</v>
      </c>
      <c r="K283" s="12" t="s">
        <v>62</v>
      </c>
      <c r="L283" s="12" t="s">
        <v>510</v>
      </c>
    </row>
    <row r="284" spans="1:12" ht="39.6" x14ac:dyDescent="0.3">
      <c r="A284" s="10" t="s">
        <v>1211</v>
      </c>
      <c r="B284" s="11" t="s">
        <v>12</v>
      </c>
      <c r="C284" s="11" t="s">
        <v>1212</v>
      </c>
      <c r="D284" s="11" t="s">
        <v>1146</v>
      </c>
      <c r="E284" s="11" t="s">
        <v>1213</v>
      </c>
      <c r="F284" s="11" t="s">
        <v>1214</v>
      </c>
      <c r="G284" s="12" t="s">
        <v>59</v>
      </c>
      <c r="H284" s="12" t="s">
        <v>59</v>
      </c>
      <c r="I284" s="12" t="s">
        <v>508</v>
      </c>
      <c r="J284" s="11" t="s">
        <v>1149</v>
      </c>
      <c r="K284" s="12" t="s">
        <v>62</v>
      </c>
      <c r="L284" s="12" t="s">
        <v>510</v>
      </c>
    </row>
    <row r="285" spans="1:12" ht="26.4" x14ac:dyDescent="0.3">
      <c r="A285" s="10" t="s">
        <v>1215</v>
      </c>
      <c r="B285" s="11" t="s">
        <v>12</v>
      </c>
      <c r="C285" s="11" t="s">
        <v>1216</v>
      </c>
      <c r="D285" s="11" t="s">
        <v>1217</v>
      </c>
      <c r="E285" s="11" t="s">
        <v>292</v>
      </c>
      <c r="F285" s="11" t="s">
        <v>1218</v>
      </c>
      <c r="G285" s="12" t="s">
        <v>59</v>
      </c>
      <c r="H285" s="12" t="s">
        <v>59</v>
      </c>
      <c r="I285" s="12" t="s">
        <v>508</v>
      </c>
      <c r="J285" s="11" t="s">
        <v>1219</v>
      </c>
      <c r="K285" s="12" t="s">
        <v>62</v>
      </c>
      <c r="L285" s="12" t="s">
        <v>510</v>
      </c>
    </row>
    <row r="286" spans="1:12" ht="26.4" x14ac:dyDescent="0.3">
      <c r="A286" s="10" t="s">
        <v>1220</v>
      </c>
      <c r="B286" s="11" t="s">
        <v>12</v>
      </c>
      <c r="C286" s="11" t="s">
        <v>1216</v>
      </c>
      <c r="D286" s="11" t="s">
        <v>1217</v>
      </c>
      <c r="E286" s="11" t="s">
        <v>1221</v>
      </c>
      <c r="F286" s="11" t="s">
        <v>1218</v>
      </c>
      <c r="G286" s="12" t="s">
        <v>59</v>
      </c>
      <c r="H286" s="12" t="s">
        <v>59</v>
      </c>
      <c r="I286" s="12" t="s">
        <v>508</v>
      </c>
      <c r="J286" s="11" t="s">
        <v>1219</v>
      </c>
      <c r="K286" s="12" t="s">
        <v>62</v>
      </c>
      <c r="L286" s="12" t="s">
        <v>510</v>
      </c>
    </row>
    <row r="287" spans="1:12" ht="26.4" x14ac:dyDescent="0.3">
      <c r="A287" s="10" t="s">
        <v>1222</v>
      </c>
      <c r="B287" s="11" t="s">
        <v>12</v>
      </c>
      <c r="C287" s="11" t="s">
        <v>1216</v>
      </c>
      <c r="D287" s="11" t="s">
        <v>1217</v>
      </c>
      <c r="E287" s="11" t="s">
        <v>1223</v>
      </c>
      <c r="F287" s="11" t="s">
        <v>1218</v>
      </c>
      <c r="G287" s="12" t="s">
        <v>59</v>
      </c>
      <c r="H287" s="12" t="s">
        <v>59</v>
      </c>
      <c r="I287" s="12" t="s">
        <v>508</v>
      </c>
      <c r="J287" s="11" t="s">
        <v>1219</v>
      </c>
      <c r="K287" s="12" t="s">
        <v>62</v>
      </c>
      <c r="L287" s="12" t="s">
        <v>510</v>
      </c>
    </row>
    <row r="288" spans="1:12" ht="26.4" x14ac:dyDescent="0.3">
      <c r="A288" s="10" t="s">
        <v>1224</v>
      </c>
      <c r="B288" s="11" t="s">
        <v>12</v>
      </c>
      <c r="C288" s="11" t="s">
        <v>1216</v>
      </c>
      <c r="D288" s="11" t="s">
        <v>1217</v>
      </c>
      <c r="E288" s="11" t="s">
        <v>1225</v>
      </c>
      <c r="F288" s="11" t="s">
        <v>1218</v>
      </c>
      <c r="G288" s="12" t="s">
        <v>59</v>
      </c>
      <c r="H288" s="12" t="s">
        <v>59</v>
      </c>
      <c r="I288" s="12" t="s">
        <v>508</v>
      </c>
      <c r="J288" s="11" t="s">
        <v>1219</v>
      </c>
      <c r="K288" s="12" t="s">
        <v>62</v>
      </c>
      <c r="L288" s="12" t="s">
        <v>510</v>
      </c>
    </row>
    <row r="289" spans="1:12" ht="26.4" x14ac:dyDescent="0.3">
      <c r="A289" s="10" t="s">
        <v>1226</v>
      </c>
      <c r="B289" s="11" t="s">
        <v>12</v>
      </c>
      <c r="C289" s="11" t="s">
        <v>1216</v>
      </c>
      <c r="D289" s="11" t="s">
        <v>1217</v>
      </c>
      <c r="E289" s="11" t="s">
        <v>1227</v>
      </c>
      <c r="F289" s="11" t="s">
        <v>1228</v>
      </c>
      <c r="G289" s="12" t="s">
        <v>59</v>
      </c>
      <c r="H289" s="12" t="s">
        <v>59</v>
      </c>
      <c r="I289" s="12" t="s">
        <v>508</v>
      </c>
      <c r="J289" s="11" t="s">
        <v>1219</v>
      </c>
      <c r="K289" s="12" t="s">
        <v>62</v>
      </c>
      <c r="L289" s="12" t="s">
        <v>510</v>
      </c>
    </row>
    <row r="290" spans="1:12" ht="26.4" x14ac:dyDescent="0.3">
      <c r="A290" s="10" t="s">
        <v>1229</v>
      </c>
      <c r="B290" s="11" t="s">
        <v>12</v>
      </c>
      <c r="C290" s="11" t="s">
        <v>1216</v>
      </c>
      <c r="D290" s="11" t="s">
        <v>1217</v>
      </c>
      <c r="E290" s="11" t="s">
        <v>1230</v>
      </c>
      <c r="F290" s="11" t="s">
        <v>1231</v>
      </c>
      <c r="G290" s="12" t="s">
        <v>59</v>
      </c>
      <c r="H290" s="12" t="s">
        <v>59</v>
      </c>
      <c r="I290" s="12" t="s">
        <v>508</v>
      </c>
      <c r="J290" s="11" t="s">
        <v>1219</v>
      </c>
      <c r="K290" s="12" t="s">
        <v>62</v>
      </c>
      <c r="L290" s="12" t="s">
        <v>510</v>
      </c>
    </row>
    <row r="291" spans="1:12" ht="26.4" x14ac:dyDescent="0.3">
      <c r="A291" s="10" t="s">
        <v>1232</v>
      </c>
      <c r="B291" s="11" t="s">
        <v>12</v>
      </c>
      <c r="C291" s="11" t="s">
        <v>1233</v>
      </c>
      <c r="D291" s="11" t="s">
        <v>1234</v>
      </c>
      <c r="E291" s="11" t="s">
        <v>1235</v>
      </c>
      <c r="F291" s="11" t="s">
        <v>1236</v>
      </c>
      <c r="G291" s="12" t="s">
        <v>59</v>
      </c>
      <c r="H291" s="12" t="s">
        <v>59</v>
      </c>
      <c r="I291" s="12" t="s">
        <v>508</v>
      </c>
      <c r="J291" s="11" t="s">
        <v>1237</v>
      </c>
      <c r="K291" s="12" t="s">
        <v>62</v>
      </c>
      <c r="L291" s="12" t="s">
        <v>510</v>
      </c>
    </row>
    <row r="292" spans="1:12" ht="26.4" x14ac:dyDescent="0.3">
      <c r="A292" s="10" t="s">
        <v>1238</v>
      </c>
      <c r="B292" s="11" t="s">
        <v>12</v>
      </c>
      <c r="C292" s="11" t="s">
        <v>1239</v>
      </c>
      <c r="D292" s="11" t="s">
        <v>1234</v>
      </c>
      <c r="E292" s="11" t="s">
        <v>1240</v>
      </c>
      <c r="F292" s="11" t="s">
        <v>1241</v>
      </c>
      <c r="G292" s="12" t="s">
        <v>59</v>
      </c>
      <c r="H292" s="12" t="s">
        <v>59</v>
      </c>
      <c r="I292" s="12" t="s">
        <v>508</v>
      </c>
      <c r="J292" s="11" t="s">
        <v>1237</v>
      </c>
      <c r="K292" s="12" t="s">
        <v>62</v>
      </c>
      <c r="L292" s="12" t="s">
        <v>510</v>
      </c>
    </row>
    <row r="293" spans="1:12" ht="26.4" x14ac:dyDescent="0.3">
      <c r="A293" s="10" t="s">
        <v>1242</v>
      </c>
      <c r="B293" s="11" t="s">
        <v>12</v>
      </c>
      <c r="C293" s="11" t="s">
        <v>1243</v>
      </c>
      <c r="D293" s="11" t="s">
        <v>1234</v>
      </c>
      <c r="E293" s="11" t="s">
        <v>1244</v>
      </c>
      <c r="F293" s="11" t="s">
        <v>1241</v>
      </c>
      <c r="G293" s="12" t="s">
        <v>59</v>
      </c>
      <c r="H293" s="12" t="s">
        <v>59</v>
      </c>
      <c r="I293" s="12" t="s">
        <v>508</v>
      </c>
      <c r="J293" s="11" t="s">
        <v>1237</v>
      </c>
      <c r="K293" s="12" t="s">
        <v>62</v>
      </c>
      <c r="L293" s="12" t="s">
        <v>510</v>
      </c>
    </row>
    <row r="294" spans="1:12" ht="26.4" x14ac:dyDescent="0.3">
      <c r="A294" s="10" t="s">
        <v>1245</v>
      </c>
      <c r="B294" s="11" t="s">
        <v>12</v>
      </c>
      <c r="C294" s="11" t="s">
        <v>1246</v>
      </c>
      <c r="D294" s="11" t="s">
        <v>1234</v>
      </c>
      <c r="E294" s="11" t="s">
        <v>1247</v>
      </c>
      <c r="F294" s="11" t="s">
        <v>1241</v>
      </c>
      <c r="G294" s="12" t="s">
        <v>59</v>
      </c>
      <c r="H294" s="12" t="s">
        <v>59</v>
      </c>
      <c r="I294" s="12" t="s">
        <v>508</v>
      </c>
      <c r="J294" s="11" t="s">
        <v>1237</v>
      </c>
      <c r="K294" s="12" t="s">
        <v>62</v>
      </c>
      <c r="L294" s="12" t="s">
        <v>510</v>
      </c>
    </row>
    <row r="295" spans="1:12" ht="26.4" x14ac:dyDescent="0.3">
      <c r="A295" s="10" t="s">
        <v>1248</v>
      </c>
      <c r="B295" s="11" t="s">
        <v>12</v>
      </c>
      <c r="C295" s="11" t="s">
        <v>1249</v>
      </c>
      <c r="D295" s="11" t="s">
        <v>1234</v>
      </c>
      <c r="E295" s="11" t="s">
        <v>1250</v>
      </c>
      <c r="F295" s="11" t="s">
        <v>1236</v>
      </c>
      <c r="G295" s="12" t="s">
        <v>59</v>
      </c>
      <c r="H295" s="12" t="s">
        <v>59</v>
      </c>
      <c r="I295" s="12" t="s">
        <v>508</v>
      </c>
      <c r="J295" s="11" t="s">
        <v>1237</v>
      </c>
      <c r="K295" s="12" t="s">
        <v>62</v>
      </c>
      <c r="L295" s="12" t="s">
        <v>510</v>
      </c>
    </row>
    <row r="296" spans="1:12" ht="39.6" x14ac:dyDescent="0.3">
      <c r="A296" s="10" t="s">
        <v>1251</v>
      </c>
      <c r="B296" s="11" t="s">
        <v>12</v>
      </c>
      <c r="C296" s="11" t="s">
        <v>1252</v>
      </c>
      <c r="D296" s="11" t="s">
        <v>1253</v>
      </c>
      <c r="E296" s="11" t="s">
        <v>1254</v>
      </c>
      <c r="F296" s="11" t="s">
        <v>1255</v>
      </c>
      <c r="G296" s="12" t="s">
        <v>59</v>
      </c>
      <c r="H296" s="12" t="s">
        <v>59</v>
      </c>
      <c r="I296" s="12" t="s">
        <v>508</v>
      </c>
      <c r="J296" s="11" t="s">
        <v>1256</v>
      </c>
      <c r="K296" s="12" t="s">
        <v>62</v>
      </c>
      <c r="L296" s="12" t="s">
        <v>510</v>
      </c>
    </row>
    <row r="297" spans="1:12" ht="39.6" x14ac:dyDescent="0.3">
      <c r="A297" s="10" t="s">
        <v>1257</v>
      </c>
      <c r="B297" s="11" t="s">
        <v>12</v>
      </c>
      <c r="C297" s="11" t="s">
        <v>1252</v>
      </c>
      <c r="D297" s="11" t="s">
        <v>1253</v>
      </c>
      <c r="E297" s="11" t="s">
        <v>1258</v>
      </c>
      <c r="F297" s="11" t="s">
        <v>1255</v>
      </c>
      <c r="G297" s="12" t="s">
        <v>59</v>
      </c>
      <c r="H297" s="12" t="s">
        <v>59</v>
      </c>
      <c r="I297" s="12" t="s">
        <v>508</v>
      </c>
      <c r="J297" s="11" t="s">
        <v>1256</v>
      </c>
      <c r="K297" s="12" t="s">
        <v>62</v>
      </c>
      <c r="L297" s="12" t="s">
        <v>510</v>
      </c>
    </row>
    <row r="298" spans="1:12" ht="39.6" x14ac:dyDescent="0.3">
      <c r="A298" s="10" t="s">
        <v>1259</v>
      </c>
      <c r="B298" s="11" t="s">
        <v>12</v>
      </c>
      <c r="C298" s="11" t="s">
        <v>1252</v>
      </c>
      <c r="D298" s="11" t="s">
        <v>1253</v>
      </c>
      <c r="E298" s="11" t="s">
        <v>1260</v>
      </c>
      <c r="F298" s="11" t="s">
        <v>1255</v>
      </c>
      <c r="G298" s="12" t="s">
        <v>59</v>
      </c>
      <c r="H298" s="12" t="s">
        <v>59</v>
      </c>
      <c r="I298" s="12" t="s">
        <v>508</v>
      </c>
      <c r="J298" s="11" t="s">
        <v>1256</v>
      </c>
      <c r="K298" s="12" t="s">
        <v>62</v>
      </c>
      <c r="L298" s="12" t="s">
        <v>510</v>
      </c>
    </row>
    <row r="299" spans="1:12" ht="39.6" x14ac:dyDescent="0.3">
      <c r="A299" s="10" t="s">
        <v>1261</v>
      </c>
      <c r="B299" s="11" t="s">
        <v>12</v>
      </c>
      <c r="C299" s="11" t="s">
        <v>1252</v>
      </c>
      <c r="D299" s="11" t="s">
        <v>1253</v>
      </c>
      <c r="E299" s="11" t="s">
        <v>1262</v>
      </c>
      <c r="F299" s="11" t="s">
        <v>1255</v>
      </c>
      <c r="G299" s="12" t="s">
        <v>59</v>
      </c>
      <c r="H299" s="12" t="s">
        <v>59</v>
      </c>
      <c r="I299" s="12" t="s">
        <v>508</v>
      </c>
      <c r="J299" s="11" t="s">
        <v>1256</v>
      </c>
      <c r="K299" s="12" t="s">
        <v>62</v>
      </c>
      <c r="L299" s="12" t="s">
        <v>510</v>
      </c>
    </row>
    <row r="300" spans="1:12" ht="39.6" x14ac:dyDescent="0.3">
      <c r="A300" s="10" t="s">
        <v>1263</v>
      </c>
      <c r="B300" s="11" t="s">
        <v>12</v>
      </c>
      <c r="C300" s="11" t="s">
        <v>1252</v>
      </c>
      <c r="D300" s="11" t="s">
        <v>1253</v>
      </c>
      <c r="E300" s="11" t="s">
        <v>1264</v>
      </c>
      <c r="F300" s="11" t="s">
        <v>1255</v>
      </c>
      <c r="G300" s="12" t="s">
        <v>59</v>
      </c>
      <c r="H300" s="12" t="s">
        <v>59</v>
      </c>
      <c r="I300" s="12" t="s">
        <v>508</v>
      </c>
      <c r="J300" s="11" t="s">
        <v>1256</v>
      </c>
      <c r="K300" s="12" t="s">
        <v>62</v>
      </c>
      <c r="L300" s="12" t="s">
        <v>510</v>
      </c>
    </row>
    <row r="301" spans="1:12" ht="26.4" x14ac:dyDescent="0.3">
      <c r="A301" s="10" t="s">
        <v>1265</v>
      </c>
      <c r="B301" s="11" t="s">
        <v>12</v>
      </c>
      <c r="C301" s="11" t="s">
        <v>1266</v>
      </c>
      <c r="D301" s="11" t="s">
        <v>1267</v>
      </c>
      <c r="E301" s="11" t="s">
        <v>1268</v>
      </c>
      <c r="F301" s="11" t="s">
        <v>1269</v>
      </c>
      <c r="G301" s="12" t="s">
        <v>59</v>
      </c>
      <c r="H301" s="12" t="s">
        <v>59</v>
      </c>
      <c r="I301" s="12" t="s">
        <v>508</v>
      </c>
      <c r="J301" s="11" t="s">
        <v>1270</v>
      </c>
      <c r="K301" s="12" t="s">
        <v>62</v>
      </c>
      <c r="L301" s="12" t="s">
        <v>510</v>
      </c>
    </row>
    <row r="302" spans="1:12" ht="26.4" x14ac:dyDescent="0.3">
      <c r="A302" s="10" t="s">
        <v>1271</v>
      </c>
      <c r="B302" s="11" t="s">
        <v>12</v>
      </c>
      <c r="C302" s="11" t="s">
        <v>1272</v>
      </c>
      <c r="D302" s="11" t="s">
        <v>1267</v>
      </c>
      <c r="E302" s="11" t="s">
        <v>1268</v>
      </c>
      <c r="F302" s="11" t="s">
        <v>1269</v>
      </c>
      <c r="G302" s="12" t="s">
        <v>59</v>
      </c>
      <c r="H302" s="12" t="s">
        <v>59</v>
      </c>
      <c r="I302" s="12" t="s">
        <v>508</v>
      </c>
      <c r="J302" s="11" t="s">
        <v>1270</v>
      </c>
      <c r="K302" s="12" t="s">
        <v>62</v>
      </c>
      <c r="L302" s="12" t="s">
        <v>510</v>
      </c>
    </row>
    <row r="303" spans="1:12" ht="26.4" x14ac:dyDescent="0.3">
      <c r="A303" s="10" t="s">
        <v>1273</v>
      </c>
      <c r="B303" s="11" t="s">
        <v>12</v>
      </c>
      <c r="C303" s="11" t="s">
        <v>1274</v>
      </c>
      <c r="D303" s="11" t="s">
        <v>1267</v>
      </c>
      <c r="E303" s="11" t="s">
        <v>1268</v>
      </c>
      <c r="F303" s="11" t="s">
        <v>1269</v>
      </c>
      <c r="G303" s="12" t="s">
        <v>59</v>
      </c>
      <c r="H303" s="12" t="s">
        <v>59</v>
      </c>
      <c r="I303" s="12" t="s">
        <v>508</v>
      </c>
      <c r="J303" s="11" t="s">
        <v>1270</v>
      </c>
      <c r="K303" s="12" t="s">
        <v>62</v>
      </c>
      <c r="L303" s="12" t="s">
        <v>510</v>
      </c>
    </row>
    <row r="304" spans="1:12" ht="26.4" x14ac:dyDescent="0.3">
      <c r="A304" s="10" t="s">
        <v>1275</v>
      </c>
      <c r="B304" s="11" t="s">
        <v>12</v>
      </c>
      <c r="C304" s="11" t="s">
        <v>1276</v>
      </c>
      <c r="D304" s="11" t="s">
        <v>1267</v>
      </c>
      <c r="E304" s="11" t="s">
        <v>1268</v>
      </c>
      <c r="F304" s="11" t="s">
        <v>1269</v>
      </c>
      <c r="G304" s="12" t="s">
        <v>59</v>
      </c>
      <c r="H304" s="12" t="s">
        <v>59</v>
      </c>
      <c r="I304" s="12" t="s">
        <v>508</v>
      </c>
      <c r="J304" s="11" t="s">
        <v>1270</v>
      </c>
      <c r="K304" s="12" t="s">
        <v>62</v>
      </c>
      <c r="L304" s="12" t="s">
        <v>510</v>
      </c>
    </row>
    <row r="305" spans="1:12" ht="26.4" x14ac:dyDescent="0.3">
      <c r="A305" s="10" t="s">
        <v>1277</v>
      </c>
      <c r="B305" s="11" t="s">
        <v>12</v>
      </c>
      <c r="C305" s="11" t="s">
        <v>1278</v>
      </c>
      <c r="D305" s="11" t="s">
        <v>1279</v>
      </c>
      <c r="E305" s="11" t="s">
        <v>1280</v>
      </c>
      <c r="F305" s="11" t="s">
        <v>1281</v>
      </c>
      <c r="G305" s="12" t="s">
        <v>59</v>
      </c>
      <c r="H305" s="12" t="s">
        <v>59</v>
      </c>
      <c r="I305" s="12" t="s">
        <v>508</v>
      </c>
      <c r="J305" s="11" t="s">
        <v>1282</v>
      </c>
      <c r="K305" s="12" t="s">
        <v>62</v>
      </c>
      <c r="L305" s="12" t="s">
        <v>510</v>
      </c>
    </row>
    <row r="306" spans="1:12" ht="26.4" x14ac:dyDescent="0.3">
      <c r="A306" s="10" t="s">
        <v>1283</v>
      </c>
      <c r="B306" s="11" t="s">
        <v>12</v>
      </c>
      <c r="C306" s="11" t="s">
        <v>1284</v>
      </c>
      <c r="D306" s="11" t="s">
        <v>1279</v>
      </c>
      <c r="E306" s="11" t="s">
        <v>1285</v>
      </c>
      <c r="F306" s="11" t="s">
        <v>1281</v>
      </c>
      <c r="G306" s="12" t="s">
        <v>59</v>
      </c>
      <c r="H306" s="12" t="s">
        <v>59</v>
      </c>
      <c r="I306" s="12" t="s">
        <v>508</v>
      </c>
      <c r="J306" s="11" t="s">
        <v>1282</v>
      </c>
      <c r="K306" s="12" t="s">
        <v>62</v>
      </c>
      <c r="L306" s="12" t="s">
        <v>510</v>
      </c>
    </row>
    <row r="307" spans="1:12" ht="26.4" x14ac:dyDescent="0.3">
      <c r="A307" s="10" t="s">
        <v>1286</v>
      </c>
      <c r="B307" s="11" t="s">
        <v>12</v>
      </c>
      <c r="C307" s="11" t="s">
        <v>1287</v>
      </c>
      <c r="D307" s="11" t="s">
        <v>1279</v>
      </c>
      <c r="E307" s="11" t="s">
        <v>1288</v>
      </c>
      <c r="F307" s="11" t="s">
        <v>1281</v>
      </c>
      <c r="G307" s="12" t="s">
        <v>59</v>
      </c>
      <c r="H307" s="12" t="s">
        <v>59</v>
      </c>
      <c r="I307" s="12" t="s">
        <v>508</v>
      </c>
      <c r="J307" s="11" t="s">
        <v>1282</v>
      </c>
      <c r="K307" s="12" t="s">
        <v>62</v>
      </c>
      <c r="L307" s="12" t="s">
        <v>510</v>
      </c>
    </row>
    <row r="308" spans="1:12" ht="26.4" x14ac:dyDescent="0.3">
      <c r="A308" s="10" t="s">
        <v>1289</v>
      </c>
      <c r="B308" s="11" t="s">
        <v>12</v>
      </c>
      <c r="C308" s="11" t="s">
        <v>1290</v>
      </c>
      <c r="D308" s="11" t="s">
        <v>1279</v>
      </c>
      <c r="E308" s="11" t="s">
        <v>1291</v>
      </c>
      <c r="F308" s="11" t="s">
        <v>1281</v>
      </c>
      <c r="G308" s="12" t="s">
        <v>59</v>
      </c>
      <c r="H308" s="12" t="s">
        <v>59</v>
      </c>
      <c r="I308" s="12" t="s">
        <v>508</v>
      </c>
      <c r="J308" s="11" t="s">
        <v>1282</v>
      </c>
      <c r="K308" s="12" t="s">
        <v>62</v>
      </c>
      <c r="L308" s="12" t="s">
        <v>510</v>
      </c>
    </row>
    <row r="309" spans="1:12" ht="26.4" x14ac:dyDescent="0.3">
      <c r="A309" s="10" t="s">
        <v>1292</v>
      </c>
      <c r="B309" s="11" t="s">
        <v>12</v>
      </c>
      <c r="C309" s="11" t="s">
        <v>1293</v>
      </c>
      <c r="D309" s="11" t="s">
        <v>1279</v>
      </c>
      <c r="E309" s="11" t="s">
        <v>1294</v>
      </c>
      <c r="F309" s="11" t="s">
        <v>1295</v>
      </c>
      <c r="G309" s="12" t="s">
        <v>59</v>
      </c>
      <c r="H309" s="12" t="s">
        <v>59</v>
      </c>
      <c r="I309" s="12" t="s">
        <v>508</v>
      </c>
      <c r="J309" s="11" t="s">
        <v>1282</v>
      </c>
      <c r="K309" s="12" t="s">
        <v>62</v>
      </c>
      <c r="L309" s="12" t="s">
        <v>510</v>
      </c>
    </row>
    <row r="310" spans="1:12" ht="26.4" x14ac:dyDescent="0.3">
      <c r="A310" s="10" t="s">
        <v>1296</v>
      </c>
      <c r="B310" s="11" t="s">
        <v>12</v>
      </c>
      <c r="C310" s="11" t="s">
        <v>1297</v>
      </c>
      <c r="D310" s="11" t="s">
        <v>1298</v>
      </c>
      <c r="E310" s="11" t="s">
        <v>1299</v>
      </c>
      <c r="F310" s="11" t="s">
        <v>1300</v>
      </c>
      <c r="G310" s="12" t="s">
        <v>59</v>
      </c>
      <c r="H310" s="12" t="s">
        <v>59</v>
      </c>
      <c r="I310" s="12" t="s">
        <v>508</v>
      </c>
      <c r="J310" s="11" t="s">
        <v>1301</v>
      </c>
      <c r="K310" s="12" t="s">
        <v>62</v>
      </c>
      <c r="L310" s="12" t="s">
        <v>510</v>
      </c>
    </row>
    <row r="311" spans="1:12" ht="26.4" x14ac:dyDescent="0.3">
      <c r="A311" s="10" t="s">
        <v>1302</v>
      </c>
      <c r="B311" s="11" t="s">
        <v>12</v>
      </c>
      <c r="C311" s="11" t="s">
        <v>1297</v>
      </c>
      <c r="D311" s="11" t="s">
        <v>1298</v>
      </c>
      <c r="E311" s="11" t="s">
        <v>1303</v>
      </c>
      <c r="F311" s="11" t="s">
        <v>1300</v>
      </c>
      <c r="G311" s="12" t="s">
        <v>59</v>
      </c>
      <c r="H311" s="12" t="s">
        <v>59</v>
      </c>
      <c r="I311" s="12" t="s">
        <v>508</v>
      </c>
      <c r="J311" s="11" t="s">
        <v>1301</v>
      </c>
      <c r="K311" s="12" t="s">
        <v>62</v>
      </c>
      <c r="L311" s="12" t="s">
        <v>510</v>
      </c>
    </row>
    <row r="312" spans="1:12" ht="26.4" x14ac:dyDescent="0.3">
      <c r="A312" s="10" t="s">
        <v>1304</v>
      </c>
      <c r="B312" s="11" t="s">
        <v>12</v>
      </c>
      <c r="C312" s="11" t="s">
        <v>1297</v>
      </c>
      <c r="D312" s="11" t="s">
        <v>1298</v>
      </c>
      <c r="E312" s="11" t="s">
        <v>1305</v>
      </c>
      <c r="F312" s="11" t="s">
        <v>1300</v>
      </c>
      <c r="G312" s="12" t="s">
        <v>59</v>
      </c>
      <c r="H312" s="12" t="s">
        <v>59</v>
      </c>
      <c r="I312" s="12" t="s">
        <v>508</v>
      </c>
      <c r="J312" s="11" t="s">
        <v>1301</v>
      </c>
      <c r="K312" s="12" t="s">
        <v>62</v>
      </c>
      <c r="L312" s="12" t="s">
        <v>510</v>
      </c>
    </row>
    <row r="313" spans="1:12" ht="26.4" x14ac:dyDescent="0.3">
      <c r="A313" s="10" t="s">
        <v>1306</v>
      </c>
      <c r="B313" s="11" t="s">
        <v>12</v>
      </c>
      <c r="C313" s="11" t="s">
        <v>1307</v>
      </c>
      <c r="D313" s="11" t="s">
        <v>1308</v>
      </c>
      <c r="E313" s="11" t="s">
        <v>1309</v>
      </c>
      <c r="F313" s="11" t="s">
        <v>1310</v>
      </c>
      <c r="G313" s="12" t="s">
        <v>59</v>
      </c>
      <c r="H313" s="12" t="s">
        <v>59</v>
      </c>
      <c r="I313" s="12" t="s">
        <v>508</v>
      </c>
      <c r="J313" s="11" t="s">
        <v>1311</v>
      </c>
      <c r="K313" s="12" t="s">
        <v>62</v>
      </c>
      <c r="L313" s="12" t="s">
        <v>510</v>
      </c>
    </row>
    <row r="314" spans="1:12" ht="26.4" x14ac:dyDescent="0.3">
      <c r="A314" s="10" t="s">
        <v>1312</v>
      </c>
      <c r="B314" s="11" t="s">
        <v>12</v>
      </c>
      <c r="C314" s="11" t="s">
        <v>1313</v>
      </c>
      <c r="D314" s="11" t="s">
        <v>1308</v>
      </c>
      <c r="E314" s="11" t="s">
        <v>1314</v>
      </c>
      <c r="F314" s="11" t="s">
        <v>1315</v>
      </c>
      <c r="G314" s="12" t="s">
        <v>59</v>
      </c>
      <c r="H314" s="12" t="s">
        <v>59</v>
      </c>
      <c r="I314" s="12" t="s">
        <v>508</v>
      </c>
      <c r="J314" s="11" t="s">
        <v>1311</v>
      </c>
      <c r="K314" s="12" t="s">
        <v>62</v>
      </c>
      <c r="L314" s="12" t="s">
        <v>510</v>
      </c>
    </row>
    <row r="315" spans="1:12" ht="26.4" x14ac:dyDescent="0.3">
      <c r="A315" s="10" t="s">
        <v>1316</v>
      </c>
      <c r="B315" s="11" t="s">
        <v>12</v>
      </c>
      <c r="C315" s="11" t="s">
        <v>1317</v>
      </c>
      <c r="D315" s="11" t="s">
        <v>1308</v>
      </c>
      <c r="E315" s="11" t="s">
        <v>1318</v>
      </c>
      <c r="F315" s="11" t="s">
        <v>1319</v>
      </c>
      <c r="G315" s="12" t="s">
        <v>59</v>
      </c>
      <c r="H315" s="12" t="s">
        <v>59</v>
      </c>
      <c r="I315" s="12" t="s">
        <v>508</v>
      </c>
      <c r="J315" s="11" t="s">
        <v>1311</v>
      </c>
      <c r="K315" s="12" t="s">
        <v>62</v>
      </c>
      <c r="L315" s="12" t="s">
        <v>510</v>
      </c>
    </row>
    <row r="316" spans="1:12" ht="26.4" x14ac:dyDescent="0.3">
      <c r="A316" s="10" t="s">
        <v>1320</v>
      </c>
      <c r="B316" s="11" t="s">
        <v>12</v>
      </c>
      <c r="C316" s="11" t="s">
        <v>1321</v>
      </c>
      <c r="D316" s="11" t="s">
        <v>1308</v>
      </c>
      <c r="E316" s="11" t="s">
        <v>1322</v>
      </c>
      <c r="F316" s="11" t="s">
        <v>1323</v>
      </c>
      <c r="G316" s="12" t="s">
        <v>59</v>
      </c>
      <c r="H316" s="12" t="s">
        <v>59</v>
      </c>
      <c r="I316" s="12" t="s">
        <v>508</v>
      </c>
      <c r="J316" s="11" t="s">
        <v>1311</v>
      </c>
      <c r="K316" s="12" t="s">
        <v>62</v>
      </c>
      <c r="L316" s="12" t="s">
        <v>510</v>
      </c>
    </row>
    <row r="317" spans="1:12" ht="26.4" x14ac:dyDescent="0.3">
      <c r="A317" s="10" t="s">
        <v>1324</v>
      </c>
      <c r="B317" s="11" t="s">
        <v>12</v>
      </c>
      <c r="C317" s="11" t="s">
        <v>1325</v>
      </c>
      <c r="D317" s="11" t="s">
        <v>1308</v>
      </c>
      <c r="E317" s="11" t="s">
        <v>1326</v>
      </c>
      <c r="F317" s="11" t="s">
        <v>1327</v>
      </c>
      <c r="G317" s="12" t="s">
        <v>59</v>
      </c>
      <c r="H317" s="12" t="s">
        <v>59</v>
      </c>
      <c r="I317" s="12" t="s">
        <v>508</v>
      </c>
      <c r="J317" s="11" t="s">
        <v>1311</v>
      </c>
      <c r="K317" s="12" t="s">
        <v>62</v>
      </c>
      <c r="L317" s="12" t="s">
        <v>510</v>
      </c>
    </row>
    <row r="318" spans="1:12" ht="26.4" x14ac:dyDescent="0.3">
      <c r="A318" s="10" t="s">
        <v>1328</v>
      </c>
      <c r="B318" s="11" t="s">
        <v>12</v>
      </c>
      <c r="C318" s="11" t="s">
        <v>1329</v>
      </c>
      <c r="D318" s="11" t="s">
        <v>1330</v>
      </c>
      <c r="E318" s="11" t="s">
        <v>334</v>
      </c>
      <c r="F318" s="11" t="s">
        <v>1331</v>
      </c>
      <c r="G318" s="12" t="s">
        <v>59</v>
      </c>
      <c r="H318" s="12" t="s">
        <v>59</v>
      </c>
      <c r="I318" s="12" t="s">
        <v>508</v>
      </c>
      <c r="J318" s="11" t="s">
        <v>1332</v>
      </c>
      <c r="K318" s="12" t="s">
        <v>62</v>
      </c>
      <c r="L318" s="12" t="s">
        <v>510</v>
      </c>
    </row>
    <row r="319" spans="1:12" ht="26.4" x14ac:dyDescent="0.3">
      <c r="A319" s="10" t="s">
        <v>1333</v>
      </c>
      <c r="B319" s="11" t="s">
        <v>12</v>
      </c>
      <c r="C319" s="11" t="s">
        <v>1334</v>
      </c>
      <c r="D319" s="11" t="s">
        <v>1330</v>
      </c>
      <c r="E319" s="11" t="s">
        <v>350</v>
      </c>
      <c r="F319" s="11" t="s">
        <v>1331</v>
      </c>
      <c r="G319" s="12" t="s">
        <v>59</v>
      </c>
      <c r="H319" s="12" t="s">
        <v>59</v>
      </c>
      <c r="I319" s="12" t="s">
        <v>508</v>
      </c>
      <c r="J319" s="11" t="s">
        <v>1332</v>
      </c>
      <c r="K319" s="12" t="s">
        <v>62</v>
      </c>
      <c r="L319" s="12" t="s">
        <v>510</v>
      </c>
    </row>
    <row r="320" spans="1:12" ht="26.4" x14ac:dyDescent="0.3">
      <c r="A320" s="10" t="s">
        <v>1335</v>
      </c>
      <c r="B320" s="11" t="s">
        <v>12</v>
      </c>
      <c r="C320" s="11" t="s">
        <v>1336</v>
      </c>
      <c r="D320" s="11" t="s">
        <v>1330</v>
      </c>
      <c r="E320" s="11" t="s">
        <v>310</v>
      </c>
      <c r="F320" s="11" t="s">
        <v>1331</v>
      </c>
      <c r="G320" s="12" t="s">
        <v>59</v>
      </c>
      <c r="H320" s="12" t="s">
        <v>59</v>
      </c>
      <c r="I320" s="12" t="s">
        <v>508</v>
      </c>
      <c r="J320" s="11" t="s">
        <v>1332</v>
      </c>
      <c r="K320" s="12" t="s">
        <v>62</v>
      </c>
      <c r="L320" s="12" t="s">
        <v>510</v>
      </c>
    </row>
    <row r="321" spans="1:12" ht="26.4" x14ac:dyDescent="0.3">
      <c r="A321" s="10" t="s">
        <v>1337</v>
      </c>
      <c r="B321" s="11" t="s">
        <v>12</v>
      </c>
      <c r="C321" s="11" t="s">
        <v>1338</v>
      </c>
      <c r="D321" s="11" t="s">
        <v>1330</v>
      </c>
      <c r="E321" s="11" t="s">
        <v>392</v>
      </c>
      <c r="F321" s="11" t="s">
        <v>1331</v>
      </c>
      <c r="G321" s="12" t="s">
        <v>59</v>
      </c>
      <c r="H321" s="12" t="s">
        <v>59</v>
      </c>
      <c r="I321" s="12" t="s">
        <v>508</v>
      </c>
      <c r="J321" s="11" t="s">
        <v>1332</v>
      </c>
      <c r="K321" s="12" t="s">
        <v>62</v>
      </c>
      <c r="L321" s="12" t="s">
        <v>510</v>
      </c>
    </row>
    <row r="322" spans="1:12" ht="26.4" x14ac:dyDescent="0.3">
      <c r="A322" s="10" t="s">
        <v>1339</v>
      </c>
      <c r="B322" s="11" t="s">
        <v>12</v>
      </c>
      <c r="C322" s="11" t="s">
        <v>1340</v>
      </c>
      <c r="D322" s="11" t="s">
        <v>1330</v>
      </c>
      <c r="E322" s="11" t="s">
        <v>501</v>
      </c>
      <c r="F322" s="11" t="s">
        <v>1331</v>
      </c>
      <c r="G322" s="12" t="s">
        <v>59</v>
      </c>
      <c r="H322" s="12" t="s">
        <v>59</v>
      </c>
      <c r="I322" s="12" t="s">
        <v>508</v>
      </c>
      <c r="J322" s="11" t="s">
        <v>1332</v>
      </c>
      <c r="K322" s="12" t="s">
        <v>62</v>
      </c>
      <c r="L322" s="12" t="s">
        <v>510</v>
      </c>
    </row>
    <row r="323" spans="1:12" ht="26.4" x14ac:dyDescent="0.3">
      <c r="A323" s="10" t="s">
        <v>1341</v>
      </c>
      <c r="B323" s="11" t="s">
        <v>12</v>
      </c>
      <c r="C323" s="11" t="s">
        <v>1342</v>
      </c>
      <c r="D323" s="11" t="s">
        <v>1343</v>
      </c>
      <c r="E323" s="11" t="s">
        <v>1344</v>
      </c>
      <c r="F323" s="11" t="s">
        <v>1345</v>
      </c>
      <c r="G323" s="12" t="s">
        <v>59</v>
      </c>
      <c r="H323" s="12" t="s">
        <v>59</v>
      </c>
      <c r="I323" s="12" t="s">
        <v>508</v>
      </c>
      <c r="J323" s="11" t="s">
        <v>1346</v>
      </c>
      <c r="K323" s="12" t="s">
        <v>62</v>
      </c>
      <c r="L323" s="12" t="s">
        <v>510</v>
      </c>
    </row>
    <row r="324" spans="1:12" ht="26.4" x14ac:dyDescent="0.3">
      <c r="A324" s="10" t="s">
        <v>1347</v>
      </c>
      <c r="B324" s="11" t="s">
        <v>12</v>
      </c>
      <c r="C324" s="11" t="s">
        <v>1342</v>
      </c>
      <c r="D324" s="11" t="s">
        <v>1343</v>
      </c>
      <c r="E324" s="11" t="s">
        <v>1348</v>
      </c>
      <c r="F324" s="11" t="s">
        <v>1345</v>
      </c>
      <c r="G324" s="12" t="s">
        <v>59</v>
      </c>
      <c r="H324" s="12" t="s">
        <v>59</v>
      </c>
      <c r="I324" s="12" t="s">
        <v>508</v>
      </c>
      <c r="J324" s="11" t="s">
        <v>1346</v>
      </c>
      <c r="K324" s="12" t="s">
        <v>62</v>
      </c>
      <c r="L324" s="12" t="s">
        <v>510</v>
      </c>
    </row>
    <row r="325" spans="1:12" ht="26.4" x14ac:dyDescent="0.3">
      <c r="A325" s="10" t="s">
        <v>1349</v>
      </c>
      <c r="B325" s="11" t="s">
        <v>12</v>
      </c>
      <c r="C325" s="11" t="s">
        <v>1342</v>
      </c>
      <c r="D325" s="11" t="s">
        <v>1343</v>
      </c>
      <c r="E325" s="11" t="s">
        <v>1350</v>
      </c>
      <c r="F325" s="11" t="s">
        <v>1345</v>
      </c>
      <c r="G325" s="12" t="s">
        <v>59</v>
      </c>
      <c r="H325" s="12" t="s">
        <v>59</v>
      </c>
      <c r="I325" s="12" t="s">
        <v>508</v>
      </c>
      <c r="J325" s="11" t="s">
        <v>1346</v>
      </c>
      <c r="K325" s="12" t="s">
        <v>62</v>
      </c>
      <c r="L325" s="12" t="s">
        <v>510</v>
      </c>
    </row>
    <row r="326" spans="1:12" ht="26.4" x14ac:dyDescent="0.3">
      <c r="A326" s="10" t="s">
        <v>1351</v>
      </c>
      <c r="B326" s="11" t="s">
        <v>12</v>
      </c>
      <c r="C326" s="11" t="s">
        <v>1342</v>
      </c>
      <c r="D326" s="11" t="s">
        <v>1343</v>
      </c>
      <c r="E326" s="11" t="s">
        <v>1352</v>
      </c>
      <c r="F326" s="11" t="s">
        <v>1345</v>
      </c>
      <c r="G326" s="12" t="s">
        <v>59</v>
      </c>
      <c r="H326" s="12" t="s">
        <v>59</v>
      </c>
      <c r="I326" s="12" t="s">
        <v>508</v>
      </c>
      <c r="J326" s="11" t="s">
        <v>1346</v>
      </c>
      <c r="K326" s="12" t="s">
        <v>62</v>
      </c>
      <c r="L326" s="12" t="s">
        <v>510</v>
      </c>
    </row>
    <row r="327" spans="1:12" ht="26.4" x14ac:dyDescent="0.3">
      <c r="A327" s="10" t="s">
        <v>1353</v>
      </c>
      <c r="B327" s="11" t="s">
        <v>12</v>
      </c>
      <c r="C327" s="11" t="s">
        <v>1342</v>
      </c>
      <c r="D327" s="11" t="s">
        <v>1343</v>
      </c>
      <c r="E327" s="11" t="s">
        <v>1354</v>
      </c>
      <c r="F327" s="11" t="s">
        <v>1355</v>
      </c>
      <c r="G327" s="12" t="s">
        <v>59</v>
      </c>
      <c r="H327" s="12" t="s">
        <v>59</v>
      </c>
      <c r="I327" s="12" t="s">
        <v>508</v>
      </c>
      <c r="J327" s="11" t="s">
        <v>1346</v>
      </c>
      <c r="K327" s="12" t="s">
        <v>62</v>
      </c>
      <c r="L327" s="12" t="s">
        <v>510</v>
      </c>
    </row>
    <row r="328" spans="1:12" ht="26.4" x14ac:dyDescent="0.3">
      <c r="A328" s="10" t="s">
        <v>1356</v>
      </c>
      <c r="B328" s="11" t="s">
        <v>12</v>
      </c>
      <c r="C328" s="11" t="s">
        <v>1342</v>
      </c>
      <c r="D328" s="11" t="s">
        <v>1343</v>
      </c>
      <c r="E328" s="11" t="s">
        <v>1357</v>
      </c>
      <c r="F328" s="11" t="s">
        <v>1355</v>
      </c>
      <c r="G328" s="12" t="s">
        <v>59</v>
      </c>
      <c r="H328" s="12" t="s">
        <v>59</v>
      </c>
      <c r="I328" s="12" t="s">
        <v>508</v>
      </c>
      <c r="J328" s="11" t="s">
        <v>1346</v>
      </c>
      <c r="K328" s="12" t="s">
        <v>62</v>
      </c>
      <c r="L328" s="12" t="s">
        <v>510</v>
      </c>
    </row>
    <row r="329" spans="1:12" ht="26.4" x14ac:dyDescent="0.3">
      <c r="A329" s="10" t="s">
        <v>1358</v>
      </c>
      <c r="B329" s="11" t="s">
        <v>12</v>
      </c>
      <c r="C329" s="11" t="s">
        <v>1342</v>
      </c>
      <c r="D329" s="11" t="s">
        <v>1343</v>
      </c>
      <c r="E329" s="11" t="s">
        <v>1359</v>
      </c>
      <c r="F329" s="11" t="s">
        <v>1355</v>
      </c>
      <c r="G329" s="12" t="s">
        <v>59</v>
      </c>
      <c r="H329" s="12" t="s">
        <v>59</v>
      </c>
      <c r="I329" s="12" t="s">
        <v>508</v>
      </c>
      <c r="J329" s="11" t="s">
        <v>1346</v>
      </c>
      <c r="K329" s="12" t="s">
        <v>62</v>
      </c>
      <c r="L329" s="12" t="s">
        <v>510</v>
      </c>
    </row>
    <row r="330" spans="1:12" ht="26.4" x14ac:dyDescent="0.3">
      <c r="A330" s="10" t="s">
        <v>1360</v>
      </c>
      <c r="B330" s="11" t="s">
        <v>12</v>
      </c>
      <c r="C330" s="11" t="s">
        <v>1342</v>
      </c>
      <c r="D330" s="11" t="s">
        <v>1343</v>
      </c>
      <c r="E330" s="11" t="s">
        <v>1361</v>
      </c>
      <c r="F330" s="11" t="s">
        <v>1355</v>
      </c>
      <c r="G330" s="12" t="s">
        <v>59</v>
      </c>
      <c r="H330" s="12" t="s">
        <v>59</v>
      </c>
      <c r="I330" s="12" t="s">
        <v>508</v>
      </c>
      <c r="J330" s="11" t="s">
        <v>1346</v>
      </c>
      <c r="K330" s="12" t="s">
        <v>62</v>
      </c>
      <c r="L330" s="12" t="s">
        <v>510</v>
      </c>
    </row>
    <row r="331" spans="1:12" ht="26.4" x14ac:dyDescent="0.3">
      <c r="A331" s="10" t="s">
        <v>1362</v>
      </c>
      <c r="B331" s="11" t="s">
        <v>12</v>
      </c>
      <c r="C331" s="11" t="s">
        <v>1342</v>
      </c>
      <c r="D331" s="11" t="s">
        <v>1343</v>
      </c>
      <c r="E331" s="11" t="s">
        <v>1363</v>
      </c>
      <c r="F331" s="11" t="s">
        <v>1355</v>
      </c>
      <c r="G331" s="12" t="s">
        <v>59</v>
      </c>
      <c r="H331" s="12" t="s">
        <v>59</v>
      </c>
      <c r="I331" s="12" t="s">
        <v>508</v>
      </c>
      <c r="J331" s="11" t="s">
        <v>1346</v>
      </c>
      <c r="K331" s="12" t="s">
        <v>62</v>
      </c>
      <c r="L331" s="12" t="s">
        <v>510</v>
      </c>
    </row>
    <row r="332" spans="1:12" ht="26.4" x14ac:dyDescent="0.3">
      <c r="A332" s="10" t="s">
        <v>1364</v>
      </c>
      <c r="B332" s="11" t="s">
        <v>12</v>
      </c>
      <c r="C332" s="11" t="s">
        <v>1342</v>
      </c>
      <c r="D332" s="11" t="s">
        <v>1343</v>
      </c>
      <c r="E332" s="11" t="s">
        <v>1365</v>
      </c>
      <c r="F332" s="11" t="s">
        <v>1355</v>
      </c>
      <c r="G332" s="12" t="s">
        <v>59</v>
      </c>
      <c r="H332" s="12" t="s">
        <v>59</v>
      </c>
      <c r="I332" s="12" t="s">
        <v>508</v>
      </c>
      <c r="J332" s="11" t="s">
        <v>1346</v>
      </c>
      <c r="K332" s="12" t="s">
        <v>62</v>
      </c>
      <c r="L332" s="12" t="s">
        <v>510</v>
      </c>
    </row>
    <row r="333" spans="1:12" ht="26.4" x14ac:dyDescent="0.3">
      <c r="A333" s="10" t="s">
        <v>1366</v>
      </c>
      <c r="B333" s="11" t="s">
        <v>12</v>
      </c>
      <c r="C333" s="11" t="s">
        <v>1367</v>
      </c>
      <c r="D333" s="11" t="s">
        <v>1368</v>
      </c>
      <c r="E333" s="11" t="s">
        <v>334</v>
      </c>
      <c r="F333" s="11" t="s">
        <v>1369</v>
      </c>
      <c r="G333" s="12" t="s">
        <v>59</v>
      </c>
      <c r="H333" s="12" t="s">
        <v>59</v>
      </c>
      <c r="I333" s="12" t="s">
        <v>508</v>
      </c>
      <c r="J333" s="11" t="s">
        <v>1370</v>
      </c>
      <c r="K333" s="12" t="s">
        <v>62</v>
      </c>
      <c r="L333" s="12" t="s">
        <v>510</v>
      </c>
    </row>
    <row r="334" spans="1:12" ht="26.4" x14ac:dyDescent="0.3">
      <c r="A334" s="10" t="s">
        <v>1371</v>
      </c>
      <c r="B334" s="11" t="s">
        <v>12</v>
      </c>
      <c r="C334" s="11" t="s">
        <v>1372</v>
      </c>
      <c r="D334" s="11" t="s">
        <v>1368</v>
      </c>
      <c r="E334" s="11" t="s">
        <v>350</v>
      </c>
      <c r="F334" s="11" t="s">
        <v>1369</v>
      </c>
      <c r="G334" s="12" t="s">
        <v>59</v>
      </c>
      <c r="H334" s="12" t="s">
        <v>59</v>
      </c>
      <c r="I334" s="12" t="s">
        <v>508</v>
      </c>
      <c r="J334" s="11" t="s">
        <v>1370</v>
      </c>
      <c r="K334" s="12" t="s">
        <v>62</v>
      </c>
      <c r="L334" s="12" t="s">
        <v>510</v>
      </c>
    </row>
    <row r="335" spans="1:12" ht="26.4" x14ac:dyDescent="0.3">
      <c r="A335" s="10" t="s">
        <v>1373</v>
      </c>
      <c r="B335" s="11" t="s">
        <v>12</v>
      </c>
      <c r="C335" s="11" t="s">
        <v>1374</v>
      </c>
      <c r="D335" s="11" t="s">
        <v>1368</v>
      </c>
      <c r="E335" s="11" t="s">
        <v>310</v>
      </c>
      <c r="F335" s="11" t="s">
        <v>1369</v>
      </c>
      <c r="G335" s="12" t="s">
        <v>59</v>
      </c>
      <c r="H335" s="12" t="s">
        <v>59</v>
      </c>
      <c r="I335" s="12" t="s">
        <v>508</v>
      </c>
      <c r="J335" s="11" t="s">
        <v>1370</v>
      </c>
      <c r="K335" s="12" t="s">
        <v>62</v>
      </c>
      <c r="L335" s="12" t="s">
        <v>510</v>
      </c>
    </row>
    <row r="336" spans="1:12" ht="26.4" x14ac:dyDescent="0.3">
      <c r="A336" s="10" t="s">
        <v>1375</v>
      </c>
      <c r="B336" s="11" t="s">
        <v>12</v>
      </c>
      <c r="C336" s="11" t="s">
        <v>1376</v>
      </c>
      <c r="D336" s="11" t="s">
        <v>1368</v>
      </c>
      <c r="E336" s="11" t="s">
        <v>392</v>
      </c>
      <c r="F336" s="11" t="s">
        <v>1369</v>
      </c>
      <c r="G336" s="12" t="s">
        <v>59</v>
      </c>
      <c r="H336" s="12" t="s">
        <v>59</v>
      </c>
      <c r="I336" s="12" t="s">
        <v>508</v>
      </c>
      <c r="J336" s="11" t="s">
        <v>1370</v>
      </c>
      <c r="K336" s="12" t="s">
        <v>62</v>
      </c>
      <c r="L336" s="12" t="s">
        <v>510</v>
      </c>
    </row>
    <row r="337" spans="1:12" ht="26.4" x14ac:dyDescent="0.3">
      <c r="A337" s="10" t="s">
        <v>1377</v>
      </c>
      <c r="B337" s="11" t="s">
        <v>12</v>
      </c>
      <c r="C337" s="11" t="s">
        <v>1378</v>
      </c>
      <c r="D337" s="11" t="s">
        <v>1368</v>
      </c>
      <c r="E337" s="11" t="s">
        <v>501</v>
      </c>
      <c r="F337" s="11" t="s">
        <v>1369</v>
      </c>
      <c r="G337" s="12" t="s">
        <v>59</v>
      </c>
      <c r="H337" s="12" t="s">
        <v>59</v>
      </c>
      <c r="I337" s="12" t="s">
        <v>508</v>
      </c>
      <c r="J337" s="11" t="s">
        <v>1370</v>
      </c>
      <c r="K337" s="12" t="s">
        <v>62</v>
      </c>
      <c r="L337" s="12" t="s">
        <v>510</v>
      </c>
    </row>
    <row r="338" spans="1:12" ht="26.4" x14ac:dyDescent="0.3">
      <c r="A338" s="10" t="s">
        <v>1379</v>
      </c>
      <c r="B338" s="11" t="s">
        <v>13</v>
      </c>
      <c r="C338" s="11" t="s">
        <v>1380</v>
      </c>
      <c r="D338" s="11" t="s">
        <v>1381</v>
      </c>
      <c r="E338" s="11" t="s">
        <v>232</v>
      </c>
      <c r="F338" s="11" t="s">
        <v>233</v>
      </c>
      <c r="G338" s="12" t="s">
        <v>59</v>
      </c>
      <c r="H338" s="12" t="s">
        <v>59</v>
      </c>
      <c r="I338" s="12" t="s">
        <v>60</v>
      </c>
      <c r="J338" s="11" t="s">
        <v>1382</v>
      </c>
      <c r="K338" s="12" t="s">
        <v>62</v>
      </c>
      <c r="L338" s="12" t="s">
        <v>63</v>
      </c>
    </row>
    <row r="339" spans="1:12" ht="26.4" x14ac:dyDescent="0.3">
      <c r="A339" s="10" t="s">
        <v>1383</v>
      </c>
      <c r="B339" s="11" t="s">
        <v>13</v>
      </c>
      <c r="C339" s="11" t="s">
        <v>1384</v>
      </c>
      <c r="D339" s="11" t="s">
        <v>1385</v>
      </c>
      <c r="E339" s="11" t="s">
        <v>1386</v>
      </c>
      <c r="F339" s="11" t="s">
        <v>227</v>
      </c>
      <c r="G339" s="12" t="s">
        <v>59</v>
      </c>
      <c r="H339" s="12" t="s">
        <v>59</v>
      </c>
      <c r="I339" s="12" t="s">
        <v>60</v>
      </c>
      <c r="J339" s="11" t="s">
        <v>1387</v>
      </c>
      <c r="K339" s="12" t="s">
        <v>62</v>
      </c>
      <c r="L339" s="12" t="s">
        <v>63</v>
      </c>
    </row>
    <row r="340" spans="1:12" ht="26.4" x14ac:dyDescent="0.3">
      <c r="A340" s="10" t="s">
        <v>1388</v>
      </c>
      <c r="B340" s="11" t="s">
        <v>13</v>
      </c>
      <c r="C340" s="11" t="s">
        <v>1389</v>
      </c>
      <c r="D340" s="11" t="s">
        <v>1390</v>
      </c>
      <c r="E340" s="11" t="s">
        <v>1391</v>
      </c>
      <c r="F340" s="11" t="s">
        <v>1392</v>
      </c>
      <c r="G340" s="12" t="s">
        <v>59</v>
      </c>
      <c r="H340" s="12" t="s">
        <v>59</v>
      </c>
      <c r="I340" s="12" t="s">
        <v>60</v>
      </c>
      <c r="J340" s="11" t="s">
        <v>1393</v>
      </c>
      <c r="K340" s="12" t="s">
        <v>62</v>
      </c>
      <c r="L340" s="12" t="s">
        <v>63</v>
      </c>
    </row>
    <row r="341" spans="1:12" ht="26.4" x14ac:dyDescent="0.3">
      <c r="A341" s="10" t="s">
        <v>1394</v>
      </c>
      <c r="B341" s="11" t="s">
        <v>13</v>
      </c>
      <c r="C341" s="11" t="s">
        <v>1395</v>
      </c>
      <c r="D341" s="11" t="s">
        <v>1396</v>
      </c>
      <c r="E341" s="11" t="s">
        <v>1397</v>
      </c>
      <c r="F341" s="11" t="s">
        <v>1398</v>
      </c>
      <c r="G341" s="12" t="s">
        <v>59</v>
      </c>
      <c r="H341" s="12" t="s">
        <v>59</v>
      </c>
      <c r="I341" s="12" t="s">
        <v>60</v>
      </c>
      <c r="J341" s="11" t="s">
        <v>1399</v>
      </c>
      <c r="K341" s="12" t="s">
        <v>62</v>
      </c>
      <c r="L341" s="12" t="s">
        <v>63</v>
      </c>
    </row>
    <row r="342" spans="1:12" ht="26.4" x14ac:dyDescent="0.3">
      <c r="A342" s="10" t="s">
        <v>1400</v>
      </c>
      <c r="B342" s="11" t="s">
        <v>13</v>
      </c>
      <c r="C342" s="11" t="s">
        <v>1401</v>
      </c>
      <c r="D342" s="11" t="s">
        <v>1402</v>
      </c>
      <c r="E342" s="11" t="s">
        <v>1403</v>
      </c>
      <c r="F342" s="11" t="s">
        <v>305</v>
      </c>
      <c r="G342" s="12" t="s">
        <v>59</v>
      </c>
      <c r="H342" s="12" t="s">
        <v>59</v>
      </c>
      <c r="I342" s="12" t="s">
        <v>60</v>
      </c>
      <c r="J342" s="11" t="s">
        <v>1404</v>
      </c>
      <c r="K342" s="12" t="s">
        <v>62</v>
      </c>
      <c r="L342" s="12" t="s">
        <v>63</v>
      </c>
    </row>
    <row r="343" spans="1:12" ht="26.4" x14ac:dyDescent="0.3">
      <c r="A343" s="10" t="s">
        <v>1405</v>
      </c>
      <c r="B343" s="11" t="s">
        <v>13</v>
      </c>
      <c r="C343" s="11" t="s">
        <v>1406</v>
      </c>
      <c r="D343" s="11" t="s">
        <v>1407</v>
      </c>
      <c r="E343" s="11" t="s">
        <v>1408</v>
      </c>
      <c r="F343" s="11" t="s">
        <v>299</v>
      </c>
      <c r="G343" s="12" t="s">
        <v>59</v>
      </c>
      <c r="H343" s="12" t="s">
        <v>59</v>
      </c>
      <c r="I343" s="12" t="s">
        <v>60</v>
      </c>
      <c r="J343" s="11" t="s">
        <v>1409</v>
      </c>
      <c r="K343" s="12" t="s">
        <v>62</v>
      </c>
      <c r="L343" s="12" t="s">
        <v>63</v>
      </c>
    </row>
    <row r="344" spans="1:12" ht="26.4" x14ac:dyDescent="0.3">
      <c r="A344" s="10" t="s">
        <v>1410</v>
      </c>
      <c r="B344" s="11" t="s">
        <v>13</v>
      </c>
      <c r="C344" s="11" t="s">
        <v>1411</v>
      </c>
      <c r="D344" s="11" t="s">
        <v>1412</v>
      </c>
      <c r="E344" s="11" t="s">
        <v>1413</v>
      </c>
      <c r="F344" s="11" t="s">
        <v>1414</v>
      </c>
      <c r="G344" s="12" t="s">
        <v>59</v>
      </c>
      <c r="H344" s="12" t="s">
        <v>59</v>
      </c>
      <c r="I344" s="12" t="s">
        <v>60</v>
      </c>
      <c r="J344" s="11" t="s">
        <v>1415</v>
      </c>
      <c r="K344" s="12" t="s">
        <v>62</v>
      </c>
      <c r="L344" s="12" t="s">
        <v>63</v>
      </c>
    </row>
    <row r="345" spans="1:12" ht="26.4" x14ac:dyDescent="0.3">
      <c r="A345" s="10" t="s">
        <v>1416</v>
      </c>
      <c r="B345" s="11" t="s">
        <v>13</v>
      </c>
      <c r="C345" s="11" t="s">
        <v>1417</v>
      </c>
      <c r="D345" s="11" t="s">
        <v>1418</v>
      </c>
      <c r="E345" s="11" t="s">
        <v>1419</v>
      </c>
      <c r="F345" s="11" t="s">
        <v>1420</v>
      </c>
      <c r="G345" s="12" t="s">
        <v>59</v>
      </c>
      <c r="H345" s="12" t="s">
        <v>59</v>
      </c>
      <c r="I345" s="12" t="s">
        <v>60</v>
      </c>
      <c r="J345" s="11" t="s">
        <v>1421</v>
      </c>
      <c r="K345" s="12" t="s">
        <v>62</v>
      </c>
      <c r="L345" s="12" t="s">
        <v>63</v>
      </c>
    </row>
    <row r="346" spans="1:12" ht="26.4" x14ac:dyDescent="0.3">
      <c r="A346" s="10" t="s">
        <v>1422</v>
      </c>
      <c r="B346" s="11" t="s">
        <v>13</v>
      </c>
      <c r="C346" s="11" t="s">
        <v>1423</v>
      </c>
      <c r="D346" s="11" t="s">
        <v>1424</v>
      </c>
      <c r="E346" s="11" t="s">
        <v>1425</v>
      </c>
      <c r="F346" s="11" t="s">
        <v>1426</v>
      </c>
      <c r="G346" s="12" t="s">
        <v>59</v>
      </c>
      <c r="H346" s="12" t="s">
        <v>59</v>
      </c>
      <c r="I346" s="12" t="s">
        <v>60</v>
      </c>
      <c r="J346" s="11" t="s">
        <v>1427</v>
      </c>
      <c r="K346" s="12" t="s">
        <v>62</v>
      </c>
      <c r="L346" s="12" t="s">
        <v>63</v>
      </c>
    </row>
    <row r="347" spans="1:12" ht="26.4" x14ac:dyDescent="0.3">
      <c r="A347" s="10" t="s">
        <v>1428</v>
      </c>
      <c r="B347" s="11" t="s">
        <v>13</v>
      </c>
      <c r="C347" s="11" t="s">
        <v>1429</v>
      </c>
      <c r="D347" s="11" t="s">
        <v>1430</v>
      </c>
      <c r="E347" s="11" t="s">
        <v>1431</v>
      </c>
      <c r="F347" s="11" t="s">
        <v>1432</v>
      </c>
      <c r="G347" s="12" t="s">
        <v>59</v>
      </c>
      <c r="H347" s="12" t="s">
        <v>59</v>
      </c>
      <c r="I347" s="12" t="s">
        <v>60</v>
      </c>
      <c r="J347" s="11" t="s">
        <v>1433</v>
      </c>
      <c r="K347" s="12" t="s">
        <v>62</v>
      </c>
      <c r="L347" s="12" t="s">
        <v>63</v>
      </c>
    </row>
    <row r="348" spans="1:12" ht="26.4" x14ac:dyDescent="0.3">
      <c r="A348" s="10" t="s">
        <v>1434</v>
      </c>
      <c r="B348" s="11" t="s">
        <v>13</v>
      </c>
      <c r="C348" s="11" t="s">
        <v>1435</v>
      </c>
      <c r="D348" s="11" t="s">
        <v>1436</v>
      </c>
      <c r="E348" s="11" t="s">
        <v>1437</v>
      </c>
      <c r="F348" s="11" t="s">
        <v>1438</v>
      </c>
      <c r="G348" s="12" t="s">
        <v>59</v>
      </c>
      <c r="H348" s="12" t="s">
        <v>59</v>
      </c>
      <c r="I348" s="12" t="s">
        <v>60</v>
      </c>
      <c r="J348" s="11" t="s">
        <v>1439</v>
      </c>
      <c r="K348" s="12" t="s">
        <v>62</v>
      </c>
      <c r="L348" s="12" t="s">
        <v>63</v>
      </c>
    </row>
    <row r="349" spans="1:12" ht="26.4" x14ac:dyDescent="0.3">
      <c r="A349" s="10" t="s">
        <v>1440</v>
      </c>
      <c r="B349" s="11" t="s">
        <v>13</v>
      </c>
      <c r="C349" s="11" t="s">
        <v>1441</v>
      </c>
      <c r="D349" s="11" t="s">
        <v>1442</v>
      </c>
      <c r="E349" s="11" t="s">
        <v>1443</v>
      </c>
      <c r="F349" s="11" t="s">
        <v>1444</v>
      </c>
      <c r="G349" s="12" t="s">
        <v>59</v>
      </c>
      <c r="H349" s="12" t="s">
        <v>59</v>
      </c>
      <c r="I349" s="12" t="s">
        <v>60</v>
      </c>
      <c r="J349" s="11" t="s">
        <v>1445</v>
      </c>
      <c r="K349" s="12" t="s">
        <v>62</v>
      </c>
      <c r="L349" s="12" t="s">
        <v>63</v>
      </c>
    </row>
    <row r="350" spans="1:12" ht="26.4" x14ac:dyDescent="0.3">
      <c r="A350" s="10" t="s">
        <v>1446</v>
      </c>
      <c r="B350" s="11" t="s">
        <v>13</v>
      </c>
      <c r="C350" s="11" t="s">
        <v>1447</v>
      </c>
      <c r="D350" s="11" t="s">
        <v>1448</v>
      </c>
      <c r="E350" s="11" t="s">
        <v>1449</v>
      </c>
      <c r="F350" s="11" t="s">
        <v>1426</v>
      </c>
      <c r="G350" s="12" t="s">
        <v>59</v>
      </c>
      <c r="H350" s="12" t="s">
        <v>59</v>
      </c>
      <c r="I350" s="12" t="s">
        <v>60</v>
      </c>
      <c r="J350" s="11" t="s">
        <v>1450</v>
      </c>
      <c r="K350" s="12" t="s">
        <v>62</v>
      </c>
      <c r="L350" s="12" t="s">
        <v>63</v>
      </c>
    </row>
    <row r="351" spans="1:12" ht="26.4" x14ac:dyDescent="0.3">
      <c r="A351" s="10" t="s">
        <v>1451</v>
      </c>
      <c r="B351" s="11" t="s">
        <v>13</v>
      </c>
      <c r="C351" s="11" t="s">
        <v>1452</v>
      </c>
      <c r="D351" s="11" t="s">
        <v>1453</v>
      </c>
      <c r="E351" s="11" t="s">
        <v>1454</v>
      </c>
      <c r="F351" s="11" t="s">
        <v>1455</v>
      </c>
      <c r="G351" s="12" t="s">
        <v>59</v>
      </c>
      <c r="H351" s="12" t="s">
        <v>59</v>
      </c>
      <c r="I351" s="12" t="s">
        <v>60</v>
      </c>
      <c r="J351" s="11" t="s">
        <v>1456</v>
      </c>
      <c r="K351" s="12" t="s">
        <v>62</v>
      </c>
      <c r="L351" s="12" t="s">
        <v>63</v>
      </c>
    </row>
    <row r="352" spans="1:12" ht="26.4" x14ac:dyDescent="0.3">
      <c r="A352" s="10" t="s">
        <v>1457</v>
      </c>
      <c r="B352" s="11" t="s">
        <v>13</v>
      </c>
      <c r="C352" s="11" t="s">
        <v>1458</v>
      </c>
      <c r="D352" s="11" t="s">
        <v>1418</v>
      </c>
      <c r="E352" s="11" t="s">
        <v>1459</v>
      </c>
      <c r="F352" s="11" t="s">
        <v>1460</v>
      </c>
      <c r="G352" s="12" t="s">
        <v>59</v>
      </c>
      <c r="H352" s="12" t="s">
        <v>59</v>
      </c>
      <c r="I352" s="12" t="s">
        <v>60</v>
      </c>
      <c r="J352" s="11" t="s">
        <v>1461</v>
      </c>
      <c r="K352" s="12" t="s">
        <v>62</v>
      </c>
      <c r="L352" s="12" t="s">
        <v>63</v>
      </c>
    </row>
    <row r="353" spans="1:12" ht="26.4" x14ac:dyDescent="0.3">
      <c r="A353" s="10" t="s">
        <v>1462</v>
      </c>
      <c r="B353" s="11" t="s">
        <v>13</v>
      </c>
      <c r="C353" s="11" t="s">
        <v>1463</v>
      </c>
      <c r="D353" s="11" t="s">
        <v>1464</v>
      </c>
      <c r="E353" s="11" t="s">
        <v>1465</v>
      </c>
      <c r="F353" s="11" t="s">
        <v>1466</v>
      </c>
      <c r="G353" s="12" t="s">
        <v>59</v>
      </c>
      <c r="H353" s="12" t="s">
        <v>59</v>
      </c>
      <c r="I353" s="12" t="s">
        <v>60</v>
      </c>
      <c r="J353" s="11" t="s">
        <v>1467</v>
      </c>
      <c r="K353" s="12" t="s">
        <v>62</v>
      </c>
      <c r="L353" s="12" t="s">
        <v>63</v>
      </c>
    </row>
    <row r="354" spans="1:12" ht="26.4" x14ac:dyDescent="0.3">
      <c r="A354" s="10" t="s">
        <v>1468</v>
      </c>
      <c r="B354" s="11" t="s">
        <v>13</v>
      </c>
      <c r="C354" s="11" t="s">
        <v>1469</v>
      </c>
      <c r="D354" s="11" t="s">
        <v>1470</v>
      </c>
      <c r="E354" s="11" t="s">
        <v>1471</v>
      </c>
      <c r="F354" s="11" t="s">
        <v>1472</v>
      </c>
      <c r="G354" s="12" t="s">
        <v>59</v>
      </c>
      <c r="H354" s="12" t="s">
        <v>59</v>
      </c>
      <c r="I354" s="12" t="s">
        <v>60</v>
      </c>
      <c r="J354" s="11" t="s">
        <v>1473</v>
      </c>
      <c r="K354" s="12" t="s">
        <v>62</v>
      </c>
      <c r="L354" s="12" t="s">
        <v>63</v>
      </c>
    </row>
    <row r="355" spans="1:12" ht="26.4" x14ac:dyDescent="0.3">
      <c r="A355" s="10" t="s">
        <v>1474</v>
      </c>
      <c r="B355" s="11" t="s">
        <v>13</v>
      </c>
      <c r="C355" s="11" t="s">
        <v>1475</v>
      </c>
      <c r="D355" s="11" t="s">
        <v>1476</v>
      </c>
      <c r="E355" s="11" t="s">
        <v>1477</v>
      </c>
      <c r="F355" s="11" t="s">
        <v>1478</v>
      </c>
      <c r="G355" s="12" t="s">
        <v>59</v>
      </c>
      <c r="H355" s="12" t="s">
        <v>59</v>
      </c>
      <c r="I355" s="12" t="s">
        <v>60</v>
      </c>
      <c r="J355" s="11" t="s">
        <v>1479</v>
      </c>
      <c r="K355" s="12" t="s">
        <v>62</v>
      </c>
      <c r="L355" s="12" t="s">
        <v>63</v>
      </c>
    </row>
    <row r="356" spans="1:12" ht="26.4" x14ac:dyDescent="0.3">
      <c r="A356" s="10" t="s">
        <v>1480</v>
      </c>
      <c r="B356" s="11" t="s">
        <v>13</v>
      </c>
      <c r="C356" s="11" t="s">
        <v>1481</v>
      </c>
      <c r="D356" s="11" t="s">
        <v>1482</v>
      </c>
      <c r="E356" s="11" t="s">
        <v>1483</v>
      </c>
      <c r="F356" s="11" t="s">
        <v>1484</v>
      </c>
      <c r="G356" s="12" t="s">
        <v>59</v>
      </c>
      <c r="H356" s="12" t="s">
        <v>59</v>
      </c>
      <c r="I356" s="12" t="s">
        <v>60</v>
      </c>
      <c r="J356" s="11" t="s">
        <v>1485</v>
      </c>
      <c r="K356" s="12" t="s">
        <v>62</v>
      </c>
      <c r="L356" s="12" t="s">
        <v>63</v>
      </c>
    </row>
    <row r="357" spans="1:12" ht="26.4" x14ac:dyDescent="0.3">
      <c r="A357" s="10" t="s">
        <v>1486</v>
      </c>
      <c r="B357" s="11" t="s">
        <v>13</v>
      </c>
      <c r="C357" s="11" t="s">
        <v>1487</v>
      </c>
      <c r="D357" s="11" t="s">
        <v>1488</v>
      </c>
      <c r="E357" s="11" t="s">
        <v>1489</v>
      </c>
      <c r="F357" s="11" t="s">
        <v>1490</v>
      </c>
      <c r="G357" s="12" t="s">
        <v>59</v>
      </c>
      <c r="H357" s="12" t="s">
        <v>59</v>
      </c>
      <c r="I357" s="12" t="s">
        <v>60</v>
      </c>
      <c r="J357" s="11" t="s">
        <v>1491</v>
      </c>
      <c r="K357" s="12" t="s">
        <v>62</v>
      </c>
      <c r="L357" s="12" t="s">
        <v>63</v>
      </c>
    </row>
    <row r="358" spans="1:12" ht="26.4" x14ac:dyDescent="0.3">
      <c r="A358" s="10" t="s">
        <v>1492</v>
      </c>
      <c r="B358" s="11" t="s">
        <v>13</v>
      </c>
      <c r="C358" s="11" t="s">
        <v>1493</v>
      </c>
      <c r="D358" s="11" t="s">
        <v>1494</v>
      </c>
      <c r="E358" s="11" t="s">
        <v>1495</v>
      </c>
      <c r="F358" s="11" t="s">
        <v>1496</v>
      </c>
      <c r="G358" s="12" t="s">
        <v>59</v>
      </c>
      <c r="H358" s="12" t="s">
        <v>59</v>
      </c>
      <c r="I358" s="12" t="s">
        <v>60</v>
      </c>
      <c r="J358" s="11" t="s">
        <v>1497</v>
      </c>
      <c r="K358" s="12" t="s">
        <v>62</v>
      </c>
      <c r="L358" s="12" t="s">
        <v>63</v>
      </c>
    </row>
    <row r="359" spans="1:12" ht="26.4" x14ac:dyDescent="0.3">
      <c r="A359" s="10" t="s">
        <v>1498</v>
      </c>
      <c r="B359" s="11" t="s">
        <v>13</v>
      </c>
      <c r="C359" s="11" t="s">
        <v>1499</v>
      </c>
      <c r="D359" s="11" t="s">
        <v>1464</v>
      </c>
      <c r="E359" s="11" t="s">
        <v>1465</v>
      </c>
      <c r="F359" s="11" t="s">
        <v>1500</v>
      </c>
      <c r="G359" s="12" t="s">
        <v>59</v>
      </c>
      <c r="H359" s="12" t="s">
        <v>59</v>
      </c>
      <c r="I359" s="12" t="s">
        <v>60</v>
      </c>
      <c r="J359" s="11" t="s">
        <v>1501</v>
      </c>
      <c r="K359" s="12" t="s">
        <v>62</v>
      </c>
      <c r="L359" s="12" t="s">
        <v>63</v>
      </c>
    </row>
    <row r="360" spans="1:12" ht="26.4" x14ac:dyDescent="0.3">
      <c r="A360" s="10" t="s">
        <v>1502</v>
      </c>
      <c r="B360" s="11" t="s">
        <v>13</v>
      </c>
      <c r="C360" s="11" t="s">
        <v>1503</v>
      </c>
      <c r="D360" s="11" t="s">
        <v>1504</v>
      </c>
      <c r="E360" s="11" t="s">
        <v>1505</v>
      </c>
      <c r="F360" s="11" t="s">
        <v>1506</v>
      </c>
      <c r="G360" s="12" t="s">
        <v>59</v>
      </c>
      <c r="H360" s="12" t="s">
        <v>59</v>
      </c>
      <c r="I360" s="12" t="s">
        <v>60</v>
      </c>
      <c r="J360" s="11" t="s">
        <v>1507</v>
      </c>
      <c r="K360" s="12" t="s">
        <v>62</v>
      </c>
      <c r="L360" s="12" t="s">
        <v>63</v>
      </c>
    </row>
    <row r="361" spans="1:12" ht="26.4" x14ac:dyDescent="0.3">
      <c r="A361" s="10" t="s">
        <v>1508</v>
      </c>
      <c r="B361" s="11" t="s">
        <v>13</v>
      </c>
      <c r="C361" s="11" t="s">
        <v>1509</v>
      </c>
      <c r="D361" s="11" t="s">
        <v>1510</v>
      </c>
      <c r="E361" s="11" t="s">
        <v>1511</v>
      </c>
      <c r="F361" s="11" t="s">
        <v>1512</v>
      </c>
      <c r="G361" s="12" t="s">
        <v>1513</v>
      </c>
      <c r="H361" s="12" t="s">
        <v>59</v>
      </c>
      <c r="I361" s="12" t="s">
        <v>60</v>
      </c>
      <c r="J361" s="11" t="s">
        <v>1514</v>
      </c>
      <c r="K361" s="12" t="s">
        <v>62</v>
      </c>
      <c r="L361" s="12" t="s">
        <v>63</v>
      </c>
    </row>
    <row r="362" spans="1:12" ht="26.4" x14ac:dyDescent="0.3">
      <c r="A362" s="10" t="s">
        <v>1515</v>
      </c>
      <c r="B362" s="11" t="s">
        <v>13</v>
      </c>
      <c r="C362" s="11" t="s">
        <v>1516</v>
      </c>
      <c r="D362" s="11" t="s">
        <v>1517</v>
      </c>
      <c r="E362" s="11" t="s">
        <v>1518</v>
      </c>
      <c r="F362" s="11" t="s">
        <v>1519</v>
      </c>
      <c r="G362" s="12" t="s">
        <v>59</v>
      </c>
      <c r="H362" s="12" t="s">
        <v>59</v>
      </c>
      <c r="I362" s="12" t="s">
        <v>60</v>
      </c>
      <c r="J362" s="11" t="s">
        <v>1520</v>
      </c>
      <c r="K362" s="12" t="s">
        <v>62</v>
      </c>
      <c r="L362" s="12" t="s">
        <v>63</v>
      </c>
    </row>
    <row r="363" spans="1:12" ht="26.4" x14ac:dyDescent="0.3">
      <c r="A363" s="10" t="s">
        <v>1521</v>
      </c>
      <c r="B363" s="11" t="s">
        <v>13</v>
      </c>
      <c r="C363" s="11" t="s">
        <v>1522</v>
      </c>
      <c r="D363" s="11" t="s">
        <v>1523</v>
      </c>
      <c r="E363" s="11" t="s">
        <v>286</v>
      </c>
      <c r="F363" s="11" t="s">
        <v>1524</v>
      </c>
      <c r="G363" s="12" t="s">
        <v>59</v>
      </c>
      <c r="H363" s="12" t="s">
        <v>59</v>
      </c>
      <c r="I363" s="12" t="s">
        <v>60</v>
      </c>
      <c r="J363" s="11" t="s">
        <v>1525</v>
      </c>
      <c r="K363" s="12" t="s">
        <v>62</v>
      </c>
      <c r="L363" s="12" t="s">
        <v>63</v>
      </c>
    </row>
    <row r="364" spans="1:12" ht="26.4" x14ac:dyDescent="0.3">
      <c r="A364" s="10" t="s">
        <v>1526</v>
      </c>
      <c r="B364" s="11" t="s">
        <v>13</v>
      </c>
      <c r="C364" s="11" t="s">
        <v>1527</v>
      </c>
      <c r="D364" s="11" t="s">
        <v>1528</v>
      </c>
      <c r="E364" s="11" t="s">
        <v>280</v>
      </c>
      <c r="F364" s="11" t="s">
        <v>1529</v>
      </c>
      <c r="G364" s="12" t="s">
        <v>59</v>
      </c>
      <c r="H364" s="12" t="s">
        <v>59</v>
      </c>
      <c r="I364" s="12" t="s">
        <v>60</v>
      </c>
      <c r="J364" s="11" t="s">
        <v>1530</v>
      </c>
      <c r="K364" s="12" t="s">
        <v>62</v>
      </c>
      <c r="L364" s="12" t="s">
        <v>63</v>
      </c>
    </row>
    <row r="365" spans="1:12" ht="39.6" x14ac:dyDescent="0.3">
      <c r="A365" s="10" t="s">
        <v>1531</v>
      </c>
      <c r="B365" s="11" t="s">
        <v>13</v>
      </c>
      <c r="C365" s="11" t="s">
        <v>1532</v>
      </c>
      <c r="D365" s="11" t="s">
        <v>1533</v>
      </c>
      <c r="E365" s="11" t="s">
        <v>1534</v>
      </c>
      <c r="F365" s="11" t="s">
        <v>1535</v>
      </c>
      <c r="G365" s="12" t="s">
        <v>59</v>
      </c>
      <c r="H365" s="12" t="s">
        <v>59</v>
      </c>
      <c r="I365" s="12" t="s">
        <v>60</v>
      </c>
      <c r="J365" s="11" t="s">
        <v>1536</v>
      </c>
      <c r="K365" s="12" t="s">
        <v>62</v>
      </c>
      <c r="L365" s="12" t="s">
        <v>63</v>
      </c>
    </row>
    <row r="366" spans="1:12" ht="26.4" x14ac:dyDescent="0.3">
      <c r="A366" s="10" t="s">
        <v>1537</v>
      </c>
      <c r="B366" s="11" t="s">
        <v>13</v>
      </c>
      <c r="C366" s="11" t="s">
        <v>1538</v>
      </c>
      <c r="D366" s="11" t="s">
        <v>1539</v>
      </c>
      <c r="E366" s="11" t="s">
        <v>1540</v>
      </c>
      <c r="F366" s="11" t="s">
        <v>1541</v>
      </c>
      <c r="G366" s="12" t="s">
        <v>59</v>
      </c>
      <c r="H366" s="12" t="s">
        <v>59</v>
      </c>
      <c r="I366" s="12" t="s">
        <v>60</v>
      </c>
      <c r="J366" s="11" t="s">
        <v>1542</v>
      </c>
      <c r="K366" s="12" t="s">
        <v>62</v>
      </c>
      <c r="L366" s="12" t="s">
        <v>63</v>
      </c>
    </row>
    <row r="367" spans="1:12" ht="26.4" x14ac:dyDescent="0.3">
      <c r="A367" s="10" t="s">
        <v>1543</v>
      </c>
      <c r="B367" s="11" t="s">
        <v>13</v>
      </c>
      <c r="C367" s="11" t="s">
        <v>1544</v>
      </c>
      <c r="D367" s="11" t="s">
        <v>1545</v>
      </c>
      <c r="E367" s="11" t="s">
        <v>1489</v>
      </c>
      <c r="F367" s="11" t="s">
        <v>1490</v>
      </c>
      <c r="G367" s="12" t="s">
        <v>59</v>
      </c>
      <c r="H367" s="12" t="s">
        <v>59</v>
      </c>
      <c r="I367" s="12" t="s">
        <v>60</v>
      </c>
      <c r="J367" s="11" t="s">
        <v>1546</v>
      </c>
      <c r="K367" s="12" t="s">
        <v>62</v>
      </c>
      <c r="L367" s="12" t="s">
        <v>63</v>
      </c>
    </row>
    <row r="368" spans="1:12" ht="26.4" x14ac:dyDescent="0.3">
      <c r="A368" s="10" t="s">
        <v>1547</v>
      </c>
      <c r="B368" s="11" t="s">
        <v>13</v>
      </c>
      <c r="C368" s="11" t="s">
        <v>1548</v>
      </c>
      <c r="D368" s="11" t="s">
        <v>1549</v>
      </c>
      <c r="E368" s="11" t="s">
        <v>1550</v>
      </c>
      <c r="F368" s="11" t="s">
        <v>1551</v>
      </c>
      <c r="G368" s="12" t="s">
        <v>59</v>
      </c>
      <c r="H368" s="12" t="s">
        <v>59</v>
      </c>
      <c r="I368" s="12" t="s">
        <v>60</v>
      </c>
      <c r="J368" s="11" t="s">
        <v>1552</v>
      </c>
      <c r="K368" s="12" t="s">
        <v>62</v>
      </c>
      <c r="L368" s="12" t="s">
        <v>63</v>
      </c>
    </row>
    <row r="369" spans="1:12" ht="26.4" x14ac:dyDescent="0.3">
      <c r="A369" s="10" t="s">
        <v>1553</v>
      </c>
      <c r="B369" s="11" t="s">
        <v>13</v>
      </c>
      <c r="C369" s="11" t="s">
        <v>1554</v>
      </c>
      <c r="D369" s="11" t="s">
        <v>1555</v>
      </c>
      <c r="E369" s="11" t="s">
        <v>1556</v>
      </c>
      <c r="F369" s="11" t="s">
        <v>1557</v>
      </c>
      <c r="G369" s="12" t="s">
        <v>59</v>
      </c>
      <c r="H369" s="12" t="s">
        <v>59</v>
      </c>
      <c r="I369" s="12" t="s">
        <v>60</v>
      </c>
      <c r="J369" s="11" t="s">
        <v>1558</v>
      </c>
      <c r="K369" s="12" t="s">
        <v>62</v>
      </c>
      <c r="L369" s="12" t="s">
        <v>63</v>
      </c>
    </row>
    <row r="370" spans="1:12" ht="39.6" x14ac:dyDescent="0.3">
      <c r="A370" s="10" t="s">
        <v>1559</v>
      </c>
      <c r="B370" s="11" t="s">
        <v>13</v>
      </c>
      <c r="C370" s="11" t="s">
        <v>1560</v>
      </c>
      <c r="D370" s="11" t="s">
        <v>1561</v>
      </c>
      <c r="E370" s="11" t="s">
        <v>1562</v>
      </c>
      <c r="F370" s="11" t="s">
        <v>1563</v>
      </c>
      <c r="G370" s="12" t="s">
        <v>1513</v>
      </c>
      <c r="H370" s="12" t="s">
        <v>59</v>
      </c>
      <c r="I370" s="12" t="s">
        <v>60</v>
      </c>
      <c r="J370" s="11" t="s">
        <v>1564</v>
      </c>
      <c r="K370" s="12" t="s">
        <v>62</v>
      </c>
      <c r="L370" s="12" t="s">
        <v>63</v>
      </c>
    </row>
    <row r="371" spans="1:12" ht="26.4" x14ac:dyDescent="0.3">
      <c r="A371" s="10" t="s">
        <v>1565</v>
      </c>
      <c r="B371" s="11" t="s">
        <v>13</v>
      </c>
      <c r="C371" s="11" t="s">
        <v>1566</v>
      </c>
      <c r="D371" s="11" t="s">
        <v>1567</v>
      </c>
      <c r="E371" s="11" t="s">
        <v>1568</v>
      </c>
      <c r="F371" s="11" t="s">
        <v>1569</v>
      </c>
      <c r="G371" s="12" t="s">
        <v>59</v>
      </c>
      <c r="H371" s="12" t="s">
        <v>59</v>
      </c>
      <c r="I371" s="12" t="s">
        <v>60</v>
      </c>
      <c r="J371" s="11" t="s">
        <v>1570</v>
      </c>
      <c r="K371" s="12" t="s">
        <v>62</v>
      </c>
      <c r="L371" s="12" t="s">
        <v>63</v>
      </c>
    </row>
    <row r="372" spans="1:12" ht="26.4" x14ac:dyDescent="0.3">
      <c r="A372" s="10" t="s">
        <v>1571</v>
      </c>
      <c r="B372" s="11" t="s">
        <v>13</v>
      </c>
      <c r="C372" s="11" t="s">
        <v>1572</v>
      </c>
      <c r="D372" s="11" t="s">
        <v>1573</v>
      </c>
      <c r="E372" s="11" t="s">
        <v>1574</v>
      </c>
      <c r="F372" s="11" t="s">
        <v>1575</v>
      </c>
      <c r="G372" s="12" t="s">
        <v>59</v>
      </c>
      <c r="H372" s="12" t="s">
        <v>59</v>
      </c>
      <c r="I372" s="12" t="s">
        <v>60</v>
      </c>
      <c r="J372" s="11" t="s">
        <v>1576</v>
      </c>
      <c r="K372" s="12" t="s">
        <v>62</v>
      </c>
      <c r="L372" s="12" t="s">
        <v>63</v>
      </c>
    </row>
    <row r="373" spans="1:12" ht="26.4" x14ac:dyDescent="0.3">
      <c r="A373" s="10" t="s">
        <v>1577</v>
      </c>
      <c r="B373" s="11" t="s">
        <v>13</v>
      </c>
      <c r="C373" s="11" t="s">
        <v>1578</v>
      </c>
      <c r="D373" s="11" t="s">
        <v>1579</v>
      </c>
      <c r="E373" s="11" t="s">
        <v>1580</v>
      </c>
      <c r="F373" s="11" t="s">
        <v>1581</v>
      </c>
      <c r="G373" s="12" t="s">
        <v>59</v>
      </c>
      <c r="H373" s="12" t="s">
        <v>59</v>
      </c>
      <c r="I373" s="12" t="s">
        <v>508</v>
      </c>
      <c r="J373" s="11" t="s">
        <v>1582</v>
      </c>
      <c r="K373" s="12" t="s">
        <v>62</v>
      </c>
      <c r="L373" s="12" t="s">
        <v>510</v>
      </c>
    </row>
    <row r="374" spans="1:12" ht="26.4" x14ac:dyDescent="0.3">
      <c r="A374" s="10" t="s">
        <v>1583</v>
      </c>
      <c r="B374" s="11" t="s">
        <v>13</v>
      </c>
      <c r="C374" s="11" t="s">
        <v>1578</v>
      </c>
      <c r="D374" s="11" t="s">
        <v>1579</v>
      </c>
      <c r="E374" s="11" t="s">
        <v>1584</v>
      </c>
      <c r="F374" s="11" t="s">
        <v>1581</v>
      </c>
      <c r="G374" s="12" t="s">
        <v>59</v>
      </c>
      <c r="H374" s="12" t="s">
        <v>59</v>
      </c>
      <c r="I374" s="12" t="s">
        <v>508</v>
      </c>
      <c r="J374" s="11" t="s">
        <v>1582</v>
      </c>
      <c r="K374" s="12" t="s">
        <v>62</v>
      </c>
      <c r="L374" s="12" t="s">
        <v>510</v>
      </c>
    </row>
    <row r="375" spans="1:12" ht="26.4" x14ac:dyDescent="0.3">
      <c r="A375" s="10" t="s">
        <v>1585</v>
      </c>
      <c r="B375" s="11" t="s">
        <v>13</v>
      </c>
      <c r="C375" s="11" t="s">
        <v>1578</v>
      </c>
      <c r="D375" s="11" t="s">
        <v>1579</v>
      </c>
      <c r="E375" s="11" t="s">
        <v>1586</v>
      </c>
      <c r="F375" s="11" t="s">
        <v>1581</v>
      </c>
      <c r="G375" s="12" t="s">
        <v>59</v>
      </c>
      <c r="H375" s="12" t="s">
        <v>59</v>
      </c>
      <c r="I375" s="12" t="s">
        <v>508</v>
      </c>
      <c r="J375" s="11" t="s">
        <v>1582</v>
      </c>
      <c r="K375" s="12" t="s">
        <v>62</v>
      </c>
      <c r="L375" s="12" t="s">
        <v>510</v>
      </c>
    </row>
    <row r="376" spans="1:12" ht="26.4" x14ac:dyDescent="0.3">
      <c r="A376" s="10" t="s">
        <v>1587</v>
      </c>
      <c r="B376" s="11" t="s">
        <v>13</v>
      </c>
      <c r="C376" s="11" t="s">
        <v>1578</v>
      </c>
      <c r="D376" s="11" t="s">
        <v>1579</v>
      </c>
      <c r="E376" s="11" t="s">
        <v>1588</v>
      </c>
      <c r="F376" s="11" t="s">
        <v>1589</v>
      </c>
      <c r="G376" s="12" t="s">
        <v>59</v>
      </c>
      <c r="H376" s="12" t="s">
        <v>59</v>
      </c>
      <c r="I376" s="12" t="s">
        <v>508</v>
      </c>
      <c r="J376" s="11" t="s">
        <v>1582</v>
      </c>
      <c r="K376" s="12" t="s">
        <v>62</v>
      </c>
      <c r="L376" s="12" t="s">
        <v>510</v>
      </c>
    </row>
    <row r="377" spans="1:12" ht="26.4" x14ac:dyDescent="0.3">
      <c r="A377" s="10" t="s">
        <v>1590</v>
      </c>
      <c r="B377" s="11" t="s">
        <v>13</v>
      </c>
      <c r="C377" s="11" t="s">
        <v>1578</v>
      </c>
      <c r="D377" s="11" t="s">
        <v>1579</v>
      </c>
      <c r="E377" s="11" t="s">
        <v>1591</v>
      </c>
      <c r="F377" s="11" t="s">
        <v>1592</v>
      </c>
      <c r="G377" s="12" t="s">
        <v>59</v>
      </c>
      <c r="H377" s="12" t="s">
        <v>59</v>
      </c>
      <c r="I377" s="12" t="s">
        <v>508</v>
      </c>
      <c r="J377" s="11" t="s">
        <v>1582</v>
      </c>
      <c r="K377" s="12" t="s">
        <v>62</v>
      </c>
      <c r="L377" s="12" t="s">
        <v>510</v>
      </c>
    </row>
    <row r="378" spans="1:12" ht="26.4" x14ac:dyDescent="0.3">
      <c r="A378" s="10" t="s">
        <v>1593</v>
      </c>
      <c r="B378" s="11" t="s">
        <v>13</v>
      </c>
      <c r="C378" s="11" t="s">
        <v>1578</v>
      </c>
      <c r="D378" s="11" t="s">
        <v>1579</v>
      </c>
      <c r="E378" s="11" t="s">
        <v>1594</v>
      </c>
      <c r="F378" s="11" t="s">
        <v>1592</v>
      </c>
      <c r="G378" s="12" t="s">
        <v>59</v>
      </c>
      <c r="H378" s="12" t="s">
        <v>59</v>
      </c>
      <c r="I378" s="12" t="s">
        <v>508</v>
      </c>
      <c r="J378" s="11" t="s">
        <v>1582</v>
      </c>
      <c r="K378" s="12" t="s">
        <v>62</v>
      </c>
      <c r="L378" s="12" t="s">
        <v>510</v>
      </c>
    </row>
    <row r="379" spans="1:12" ht="26.4" x14ac:dyDescent="0.3">
      <c r="A379" s="10" t="s">
        <v>1595</v>
      </c>
      <c r="B379" s="11" t="s">
        <v>13</v>
      </c>
      <c r="C379" s="11" t="s">
        <v>1596</v>
      </c>
      <c r="D379" s="11" t="s">
        <v>1597</v>
      </c>
      <c r="E379" s="11" t="s">
        <v>1598</v>
      </c>
      <c r="F379" s="11" t="s">
        <v>1599</v>
      </c>
      <c r="G379" s="12" t="s">
        <v>59</v>
      </c>
      <c r="H379" s="12" t="s">
        <v>59</v>
      </c>
      <c r="I379" s="12" t="s">
        <v>508</v>
      </c>
      <c r="J379" s="11" t="s">
        <v>1600</v>
      </c>
      <c r="K379" s="12" t="s">
        <v>62</v>
      </c>
      <c r="L379" s="12" t="s">
        <v>510</v>
      </c>
    </row>
    <row r="380" spans="1:12" ht="26.4" x14ac:dyDescent="0.3">
      <c r="A380" s="10" t="s">
        <v>1601</v>
      </c>
      <c r="B380" s="11" t="s">
        <v>13</v>
      </c>
      <c r="C380" s="11" t="s">
        <v>1602</v>
      </c>
      <c r="D380" s="11" t="s">
        <v>1597</v>
      </c>
      <c r="E380" s="11" t="s">
        <v>1603</v>
      </c>
      <c r="F380" s="11" t="s">
        <v>1604</v>
      </c>
      <c r="G380" s="12" t="s">
        <v>59</v>
      </c>
      <c r="H380" s="12" t="s">
        <v>59</v>
      </c>
      <c r="I380" s="12" t="s">
        <v>508</v>
      </c>
      <c r="J380" s="11" t="s">
        <v>1600</v>
      </c>
      <c r="K380" s="12" t="s">
        <v>62</v>
      </c>
      <c r="L380" s="12" t="s">
        <v>510</v>
      </c>
    </row>
    <row r="381" spans="1:12" ht="26.4" x14ac:dyDescent="0.3">
      <c r="A381" s="10" t="s">
        <v>1605</v>
      </c>
      <c r="B381" s="11" t="s">
        <v>13</v>
      </c>
      <c r="C381" s="11" t="s">
        <v>1606</v>
      </c>
      <c r="D381" s="11" t="s">
        <v>1597</v>
      </c>
      <c r="E381" s="11" t="s">
        <v>1607</v>
      </c>
      <c r="F381" s="11" t="s">
        <v>1608</v>
      </c>
      <c r="G381" s="12" t="s">
        <v>59</v>
      </c>
      <c r="H381" s="12" t="s">
        <v>59</v>
      </c>
      <c r="I381" s="12" t="s">
        <v>508</v>
      </c>
      <c r="J381" s="11" t="s">
        <v>1600</v>
      </c>
      <c r="K381" s="12" t="s">
        <v>62</v>
      </c>
      <c r="L381" s="12" t="s">
        <v>510</v>
      </c>
    </row>
    <row r="382" spans="1:12" ht="26.4" x14ac:dyDescent="0.3">
      <c r="A382" s="10" t="s">
        <v>1609</v>
      </c>
      <c r="B382" s="11" t="s">
        <v>13</v>
      </c>
      <c r="C382" s="11" t="s">
        <v>1610</v>
      </c>
      <c r="D382" s="11" t="s">
        <v>1597</v>
      </c>
      <c r="E382" s="11" t="s">
        <v>1611</v>
      </c>
      <c r="F382" s="11" t="s">
        <v>1612</v>
      </c>
      <c r="G382" s="12" t="s">
        <v>59</v>
      </c>
      <c r="H382" s="12" t="s">
        <v>59</v>
      </c>
      <c r="I382" s="12" t="s">
        <v>508</v>
      </c>
      <c r="J382" s="11" t="s">
        <v>1600</v>
      </c>
      <c r="K382" s="12" t="s">
        <v>62</v>
      </c>
      <c r="L382" s="12" t="s">
        <v>510</v>
      </c>
    </row>
    <row r="383" spans="1:12" ht="26.4" x14ac:dyDescent="0.3">
      <c r="A383" s="10" t="s">
        <v>1613</v>
      </c>
      <c r="B383" s="11" t="s">
        <v>13</v>
      </c>
      <c r="C383" s="11" t="s">
        <v>1614</v>
      </c>
      <c r="D383" s="11" t="s">
        <v>1597</v>
      </c>
      <c r="E383" s="11" t="s">
        <v>1615</v>
      </c>
      <c r="F383" s="11" t="s">
        <v>1616</v>
      </c>
      <c r="G383" s="12" t="s">
        <v>59</v>
      </c>
      <c r="H383" s="12" t="s">
        <v>59</v>
      </c>
      <c r="I383" s="12" t="s">
        <v>508</v>
      </c>
      <c r="J383" s="11" t="s">
        <v>1600</v>
      </c>
      <c r="K383" s="12" t="s">
        <v>62</v>
      </c>
      <c r="L383" s="12" t="s">
        <v>510</v>
      </c>
    </row>
    <row r="384" spans="1:12" ht="26.4" x14ac:dyDescent="0.3">
      <c r="A384" s="10" t="s">
        <v>1617</v>
      </c>
      <c r="B384" s="11" t="s">
        <v>13</v>
      </c>
      <c r="C384" s="11" t="s">
        <v>1618</v>
      </c>
      <c r="D384" s="11" t="s">
        <v>1597</v>
      </c>
      <c r="E384" s="11" t="s">
        <v>1619</v>
      </c>
      <c r="F384" s="11" t="s">
        <v>1620</v>
      </c>
      <c r="G384" s="12" t="s">
        <v>59</v>
      </c>
      <c r="H384" s="12" t="s">
        <v>59</v>
      </c>
      <c r="I384" s="12" t="s">
        <v>508</v>
      </c>
      <c r="J384" s="11" t="s">
        <v>1600</v>
      </c>
      <c r="K384" s="12" t="s">
        <v>62</v>
      </c>
      <c r="L384" s="12" t="s">
        <v>510</v>
      </c>
    </row>
    <row r="385" spans="1:12" ht="26.4" x14ac:dyDescent="0.3">
      <c r="A385" s="10" t="s">
        <v>1621</v>
      </c>
      <c r="B385" s="11" t="s">
        <v>13</v>
      </c>
      <c r="C385" s="11" t="s">
        <v>1622</v>
      </c>
      <c r="D385" s="11" t="s">
        <v>1597</v>
      </c>
      <c r="E385" s="11" t="s">
        <v>1623</v>
      </c>
      <c r="F385" s="11" t="s">
        <v>1624</v>
      </c>
      <c r="G385" s="12" t="s">
        <v>59</v>
      </c>
      <c r="H385" s="12" t="s">
        <v>59</v>
      </c>
      <c r="I385" s="12" t="s">
        <v>508</v>
      </c>
      <c r="J385" s="11" t="s">
        <v>1600</v>
      </c>
      <c r="K385" s="12" t="s">
        <v>62</v>
      </c>
      <c r="L385" s="12" t="s">
        <v>510</v>
      </c>
    </row>
    <row r="386" spans="1:12" ht="26.4" x14ac:dyDescent="0.3">
      <c r="A386" s="10" t="s">
        <v>1625</v>
      </c>
      <c r="B386" s="11" t="s">
        <v>13</v>
      </c>
      <c r="C386" s="11" t="s">
        <v>1626</v>
      </c>
      <c r="D386" s="11" t="s">
        <v>1627</v>
      </c>
      <c r="E386" s="11" t="s">
        <v>1628</v>
      </c>
      <c r="F386" s="11" t="s">
        <v>1629</v>
      </c>
      <c r="G386" s="12" t="s">
        <v>59</v>
      </c>
      <c r="H386" s="12" t="s">
        <v>59</v>
      </c>
      <c r="I386" s="12" t="s">
        <v>508</v>
      </c>
      <c r="J386" s="11" t="s">
        <v>1630</v>
      </c>
      <c r="K386" s="12" t="s">
        <v>62</v>
      </c>
      <c r="L386" s="12" t="s">
        <v>510</v>
      </c>
    </row>
    <row r="387" spans="1:12" ht="26.4" x14ac:dyDescent="0.3">
      <c r="A387" s="10" t="s">
        <v>1631</v>
      </c>
      <c r="B387" s="11" t="s">
        <v>13</v>
      </c>
      <c r="C387" s="11" t="s">
        <v>1632</v>
      </c>
      <c r="D387" s="11" t="s">
        <v>1627</v>
      </c>
      <c r="E387" s="11" t="s">
        <v>1633</v>
      </c>
      <c r="F387" s="11" t="s">
        <v>1634</v>
      </c>
      <c r="G387" s="12" t="s">
        <v>59</v>
      </c>
      <c r="H387" s="12" t="s">
        <v>59</v>
      </c>
      <c r="I387" s="12" t="s">
        <v>508</v>
      </c>
      <c r="J387" s="11" t="s">
        <v>1630</v>
      </c>
      <c r="K387" s="12" t="s">
        <v>62</v>
      </c>
      <c r="L387" s="12" t="s">
        <v>510</v>
      </c>
    </row>
    <row r="388" spans="1:12" ht="26.4" x14ac:dyDescent="0.3">
      <c r="A388" s="10" t="s">
        <v>1635</v>
      </c>
      <c r="B388" s="11" t="s">
        <v>13</v>
      </c>
      <c r="C388" s="11" t="s">
        <v>1636</v>
      </c>
      <c r="D388" s="11" t="s">
        <v>1627</v>
      </c>
      <c r="E388" s="11" t="s">
        <v>1637</v>
      </c>
      <c r="F388" s="11" t="s">
        <v>1638</v>
      </c>
      <c r="G388" s="12" t="s">
        <v>59</v>
      </c>
      <c r="H388" s="12" t="s">
        <v>59</v>
      </c>
      <c r="I388" s="12" t="s">
        <v>508</v>
      </c>
      <c r="J388" s="11" t="s">
        <v>1630</v>
      </c>
      <c r="K388" s="12" t="s">
        <v>62</v>
      </c>
      <c r="L388" s="12" t="s">
        <v>510</v>
      </c>
    </row>
    <row r="389" spans="1:12" ht="26.4" x14ac:dyDescent="0.3">
      <c r="A389" s="10" t="s">
        <v>1639</v>
      </c>
      <c r="B389" s="11" t="s">
        <v>13</v>
      </c>
      <c r="C389" s="11" t="s">
        <v>1640</v>
      </c>
      <c r="D389" s="11" t="s">
        <v>1627</v>
      </c>
      <c r="E389" s="11" t="s">
        <v>1641</v>
      </c>
      <c r="F389" s="11" t="s">
        <v>1642</v>
      </c>
      <c r="G389" s="12" t="s">
        <v>59</v>
      </c>
      <c r="H389" s="12" t="s">
        <v>59</v>
      </c>
      <c r="I389" s="12" t="s">
        <v>508</v>
      </c>
      <c r="J389" s="11" t="s">
        <v>1630</v>
      </c>
      <c r="K389" s="12" t="s">
        <v>62</v>
      </c>
      <c r="L389" s="12" t="s">
        <v>510</v>
      </c>
    </row>
    <row r="390" spans="1:12" ht="26.4" x14ac:dyDescent="0.3">
      <c r="A390" s="10" t="s">
        <v>1643</v>
      </c>
      <c r="B390" s="11" t="s">
        <v>13</v>
      </c>
      <c r="C390" s="11" t="s">
        <v>1644</v>
      </c>
      <c r="D390" s="11" t="s">
        <v>1645</v>
      </c>
      <c r="E390" s="11" t="s">
        <v>1646</v>
      </c>
      <c r="F390" s="11" t="s">
        <v>1647</v>
      </c>
      <c r="G390" s="12" t="s">
        <v>59</v>
      </c>
      <c r="H390" s="12" t="s">
        <v>59</v>
      </c>
      <c r="I390" s="12" t="s">
        <v>508</v>
      </c>
      <c r="J390" s="11" t="s">
        <v>1648</v>
      </c>
      <c r="K390" s="12" t="s">
        <v>62</v>
      </c>
      <c r="L390" s="12" t="s">
        <v>510</v>
      </c>
    </row>
    <row r="391" spans="1:12" ht="26.4" x14ac:dyDescent="0.3">
      <c r="A391" s="10" t="s">
        <v>1649</v>
      </c>
      <c r="B391" s="11" t="s">
        <v>13</v>
      </c>
      <c r="C391" s="11" t="s">
        <v>1650</v>
      </c>
      <c r="D391" s="11" t="s">
        <v>1645</v>
      </c>
      <c r="E391" s="11" t="s">
        <v>1646</v>
      </c>
      <c r="F391" s="11" t="s">
        <v>1647</v>
      </c>
      <c r="G391" s="12" t="s">
        <v>59</v>
      </c>
      <c r="H391" s="12" t="s">
        <v>59</v>
      </c>
      <c r="I391" s="12" t="s">
        <v>508</v>
      </c>
      <c r="J391" s="11" t="s">
        <v>1648</v>
      </c>
      <c r="K391" s="12" t="s">
        <v>62</v>
      </c>
      <c r="L391" s="12" t="s">
        <v>510</v>
      </c>
    </row>
    <row r="392" spans="1:12" ht="26.4" x14ac:dyDescent="0.3">
      <c r="A392" s="10" t="s">
        <v>1651</v>
      </c>
      <c r="B392" s="11" t="s">
        <v>13</v>
      </c>
      <c r="C392" s="11" t="s">
        <v>1652</v>
      </c>
      <c r="D392" s="11" t="s">
        <v>1645</v>
      </c>
      <c r="E392" s="11" t="s">
        <v>1646</v>
      </c>
      <c r="F392" s="11" t="s">
        <v>1647</v>
      </c>
      <c r="G392" s="12" t="s">
        <v>59</v>
      </c>
      <c r="H392" s="12" t="s">
        <v>59</v>
      </c>
      <c r="I392" s="12" t="s">
        <v>508</v>
      </c>
      <c r="J392" s="11" t="s">
        <v>1648</v>
      </c>
      <c r="K392" s="12" t="s">
        <v>62</v>
      </c>
      <c r="L392" s="12" t="s">
        <v>510</v>
      </c>
    </row>
    <row r="393" spans="1:12" ht="26.4" x14ac:dyDescent="0.3">
      <c r="A393" s="10" t="s">
        <v>1653</v>
      </c>
      <c r="B393" s="11" t="s">
        <v>13</v>
      </c>
      <c r="C393" s="11" t="s">
        <v>1654</v>
      </c>
      <c r="D393" s="11" t="s">
        <v>1645</v>
      </c>
      <c r="E393" s="11" t="s">
        <v>1646</v>
      </c>
      <c r="F393" s="11" t="s">
        <v>1655</v>
      </c>
      <c r="G393" s="12" t="s">
        <v>59</v>
      </c>
      <c r="H393" s="12" t="s">
        <v>59</v>
      </c>
      <c r="I393" s="12" t="s">
        <v>508</v>
      </c>
      <c r="J393" s="11" t="s">
        <v>1648</v>
      </c>
      <c r="K393" s="12" t="s">
        <v>62</v>
      </c>
      <c r="L393" s="12" t="s">
        <v>510</v>
      </c>
    </row>
    <row r="394" spans="1:12" ht="26.4" x14ac:dyDescent="0.3">
      <c r="A394" s="10" t="s">
        <v>1656</v>
      </c>
      <c r="B394" s="11" t="s">
        <v>13</v>
      </c>
      <c r="C394" s="11" t="s">
        <v>1657</v>
      </c>
      <c r="D394" s="11" t="s">
        <v>1645</v>
      </c>
      <c r="E394" s="11" t="s">
        <v>1646</v>
      </c>
      <c r="F394" s="11" t="s">
        <v>1655</v>
      </c>
      <c r="G394" s="12" t="s">
        <v>59</v>
      </c>
      <c r="H394" s="12" t="s">
        <v>59</v>
      </c>
      <c r="I394" s="12" t="s">
        <v>508</v>
      </c>
      <c r="J394" s="11" t="s">
        <v>1648</v>
      </c>
      <c r="K394" s="12" t="s">
        <v>62</v>
      </c>
      <c r="L394" s="12" t="s">
        <v>510</v>
      </c>
    </row>
    <row r="395" spans="1:12" ht="39.6" x14ac:dyDescent="0.3">
      <c r="A395" s="10" t="s">
        <v>1658</v>
      </c>
      <c r="B395" s="11" t="s">
        <v>13</v>
      </c>
      <c r="C395" s="11" t="s">
        <v>1659</v>
      </c>
      <c r="D395" s="11" t="s">
        <v>1660</v>
      </c>
      <c r="E395" s="11" t="s">
        <v>1661</v>
      </c>
      <c r="F395" s="11" t="s">
        <v>1655</v>
      </c>
      <c r="G395" s="12" t="s">
        <v>59</v>
      </c>
      <c r="H395" s="12" t="s">
        <v>59</v>
      </c>
      <c r="I395" s="12" t="s">
        <v>508</v>
      </c>
      <c r="J395" s="11" t="s">
        <v>1662</v>
      </c>
      <c r="K395" s="12" t="s">
        <v>62</v>
      </c>
      <c r="L395" s="12" t="s">
        <v>510</v>
      </c>
    </row>
    <row r="396" spans="1:12" ht="39.6" x14ac:dyDescent="0.3">
      <c r="A396" s="10" t="s">
        <v>1663</v>
      </c>
      <c r="B396" s="11" t="s">
        <v>13</v>
      </c>
      <c r="C396" s="11" t="s">
        <v>1659</v>
      </c>
      <c r="D396" s="11" t="s">
        <v>1660</v>
      </c>
      <c r="E396" s="11" t="s">
        <v>1664</v>
      </c>
      <c r="F396" s="11" t="s">
        <v>1647</v>
      </c>
      <c r="G396" s="12" t="s">
        <v>59</v>
      </c>
      <c r="H396" s="12" t="s">
        <v>59</v>
      </c>
      <c r="I396" s="12" t="s">
        <v>508</v>
      </c>
      <c r="J396" s="11" t="s">
        <v>1662</v>
      </c>
      <c r="K396" s="12" t="s">
        <v>62</v>
      </c>
      <c r="L396" s="12" t="s">
        <v>510</v>
      </c>
    </row>
    <row r="397" spans="1:12" ht="39.6" x14ac:dyDescent="0.3">
      <c r="A397" s="10" t="s">
        <v>1665</v>
      </c>
      <c r="B397" s="11" t="s">
        <v>13</v>
      </c>
      <c r="C397" s="11" t="s">
        <v>1666</v>
      </c>
      <c r="D397" s="11" t="s">
        <v>1660</v>
      </c>
      <c r="E397" s="11" t="s">
        <v>1667</v>
      </c>
      <c r="F397" s="11" t="s">
        <v>1655</v>
      </c>
      <c r="G397" s="12" t="s">
        <v>59</v>
      </c>
      <c r="H397" s="12" t="s">
        <v>59</v>
      </c>
      <c r="I397" s="12" t="s">
        <v>508</v>
      </c>
      <c r="J397" s="11" t="s">
        <v>1662</v>
      </c>
      <c r="K397" s="12" t="s">
        <v>62</v>
      </c>
      <c r="L397" s="12" t="s">
        <v>510</v>
      </c>
    </row>
    <row r="398" spans="1:12" ht="39.6" x14ac:dyDescent="0.3">
      <c r="A398" s="10" t="s">
        <v>1668</v>
      </c>
      <c r="B398" s="11" t="s">
        <v>13</v>
      </c>
      <c r="C398" s="11" t="s">
        <v>1669</v>
      </c>
      <c r="D398" s="11" t="s">
        <v>1660</v>
      </c>
      <c r="E398" s="11" t="s">
        <v>1661</v>
      </c>
      <c r="F398" s="11" t="s">
        <v>1647</v>
      </c>
      <c r="G398" s="12" t="s">
        <v>59</v>
      </c>
      <c r="H398" s="12" t="s">
        <v>59</v>
      </c>
      <c r="I398" s="12" t="s">
        <v>508</v>
      </c>
      <c r="J398" s="11" t="s">
        <v>1662</v>
      </c>
      <c r="K398" s="12" t="s">
        <v>62</v>
      </c>
      <c r="L398" s="12" t="s">
        <v>510</v>
      </c>
    </row>
    <row r="399" spans="1:12" ht="39.6" x14ac:dyDescent="0.3">
      <c r="A399" s="10" t="s">
        <v>1670</v>
      </c>
      <c r="B399" s="11" t="s">
        <v>13</v>
      </c>
      <c r="C399" s="11" t="s">
        <v>1671</v>
      </c>
      <c r="D399" s="11" t="s">
        <v>1660</v>
      </c>
      <c r="E399" s="11" t="s">
        <v>1672</v>
      </c>
      <c r="F399" s="11" t="s">
        <v>1647</v>
      </c>
      <c r="G399" s="12" t="s">
        <v>59</v>
      </c>
      <c r="H399" s="12" t="s">
        <v>59</v>
      </c>
      <c r="I399" s="12" t="s">
        <v>508</v>
      </c>
      <c r="J399" s="11" t="s">
        <v>1662</v>
      </c>
      <c r="K399" s="12" t="s">
        <v>62</v>
      </c>
      <c r="L399" s="12" t="s">
        <v>510</v>
      </c>
    </row>
    <row r="400" spans="1:12" ht="26.4" x14ac:dyDescent="0.3">
      <c r="A400" s="10" t="s">
        <v>1673</v>
      </c>
      <c r="B400" s="11" t="s">
        <v>13</v>
      </c>
      <c r="C400" s="11" t="s">
        <v>1674</v>
      </c>
      <c r="D400" s="11" t="s">
        <v>1675</v>
      </c>
      <c r="E400" s="11" t="s">
        <v>1676</v>
      </c>
      <c r="F400" s="11" t="s">
        <v>1677</v>
      </c>
      <c r="G400" s="12" t="s">
        <v>59</v>
      </c>
      <c r="H400" s="12" t="s">
        <v>59</v>
      </c>
      <c r="I400" s="12" t="s">
        <v>508</v>
      </c>
      <c r="J400" s="11" t="s">
        <v>1678</v>
      </c>
      <c r="K400" s="12" t="s">
        <v>62</v>
      </c>
      <c r="L400" s="12" t="s">
        <v>510</v>
      </c>
    </row>
    <row r="401" spans="1:12" ht="26.4" x14ac:dyDescent="0.3">
      <c r="A401" s="10" t="s">
        <v>1679</v>
      </c>
      <c r="B401" s="11" t="s">
        <v>13</v>
      </c>
      <c r="C401" s="11" t="s">
        <v>1674</v>
      </c>
      <c r="D401" s="11" t="s">
        <v>1675</v>
      </c>
      <c r="E401" s="11" t="s">
        <v>1680</v>
      </c>
      <c r="F401" s="11" t="s">
        <v>1681</v>
      </c>
      <c r="G401" s="12" t="s">
        <v>59</v>
      </c>
      <c r="H401" s="12" t="s">
        <v>59</v>
      </c>
      <c r="I401" s="12" t="s">
        <v>508</v>
      </c>
      <c r="J401" s="11" t="s">
        <v>1678</v>
      </c>
      <c r="K401" s="12" t="s">
        <v>62</v>
      </c>
      <c r="L401" s="12" t="s">
        <v>510</v>
      </c>
    </row>
    <row r="402" spans="1:12" ht="26.4" x14ac:dyDescent="0.3">
      <c r="A402" s="10" t="s">
        <v>1682</v>
      </c>
      <c r="B402" s="11" t="s">
        <v>13</v>
      </c>
      <c r="C402" s="11" t="s">
        <v>1674</v>
      </c>
      <c r="D402" s="11" t="s">
        <v>1675</v>
      </c>
      <c r="E402" s="11" t="s">
        <v>1683</v>
      </c>
      <c r="F402" s="11" t="s">
        <v>1684</v>
      </c>
      <c r="G402" s="12" t="s">
        <v>59</v>
      </c>
      <c r="H402" s="12" t="s">
        <v>59</v>
      </c>
      <c r="I402" s="12" t="s">
        <v>508</v>
      </c>
      <c r="J402" s="11" t="s">
        <v>1678</v>
      </c>
      <c r="K402" s="12" t="s">
        <v>62</v>
      </c>
      <c r="L402" s="12" t="s">
        <v>510</v>
      </c>
    </row>
    <row r="403" spans="1:12" ht="26.4" x14ac:dyDescent="0.3">
      <c r="A403" s="10" t="s">
        <v>1685</v>
      </c>
      <c r="B403" s="11" t="s">
        <v>13</v>
      </c>
      <c r="C403" s="11" t="s">
        <v>1674</v>
      </c>
      <c r="D403" s="11" t="s">
        <v>1675</v>
      </c>
      <c r="E403" s="11" t="s">
        <v>1686</v>
      </c>
      <c r="F403" s="11" t="s">
        <v>1687</v>
      </c>
      <c r="G403" s="12" t="s">
        <v>59</v>
      </c>
      <c r="H403" s="12" t="s">
        <v>59</v>
      </c>
      <c r="I403" s="12" t="s">
        <v>508</v>
      </c>
      <c r="J403" s="11" t="s">
        <v>1678</v>
      </c>
      <c r="K403" s="12" t="s">
        <v>62</v>
      </c>
      <c r="L403" s="12" t="s">
        <v>510</v>
      </c>
    </row>
    <row r="404" spans="1:12" ht="26.4" x14ac:dyDescent="0.3">
      <c r="A404" s="10" t="s">
        <v>1688</v>
      </c>
      <c r="B404" s="11" t="s">
        <v>13</v>
      </c>
      <c r="C404" s="11" t="s">
        <v>1689</v>
      </c>
      <c r="D404" s="11" t="s">
        <v>1690</v>
      </c>
      <c r="E404" s="11" t="s">
        <v>1691</v>
      </c>
      <c r="F404" s="11" t="s">
        <v>1692</v>
      </c>
      <c r="G404" s="12" t="s">
        <v>59</v>
      </c>
      <c r="H404" s="12" t="s">
        <v>59</v>
      </c>
      <c r="I404" s="12" t="s">
        <v>508</v>
      </c>
      <c r="J404" s="11" t="s">
        <v>1693</v>
      </c>
      <c r="K404" s="12" t="s">
        <v>62</v>
      </c>
      <c r="L404" s="12" t="s">
        <v>510</v>
      </c>
    </row>
    <row r="405" spans="1:12" ht="26.4" x14ac:dyDescent="0.3">
      <c r="A405" s="10" t="s">
        <v>1694</v>
      </c>
      <c r="B405" s="11" t="s">
        <v>13</v>
      </c>
      <c r="C405" s="11" t="s">
        <v>1695</v>
      </c>
      <c r="D405" s="11" t="s">
        <v>1690</v>
      </c>
      <c r="E405" s="11" t="s">
        <v>1696</v>
      </c>
      <c r="F405" s="11" t="s">
        <v>1697</v>
      </c>
      <c r="G405" s="12" t="s">
        <v>59</v>
      </c>
      <c r="H405" s="12" t="s">
        <v>59</v>
      </c>
      <c r="I405" s="12" t="s">
        <v>508</v>
      </c>
      <c r="J405" s="11" t="s">
        <v>1693</v>
      </c>
      <c r="K405" s="12" t="s">
        <v>62</v>
      </c>
      <c r="L405" s="12" t="s">
        <v>510</v>
      </c>
    </row>
    <row r="406" spans="1:12" ht="26.4" x14ac:dyDescent="0.3">
      <c r="A406" s="10" t="s">
        <v>1698</v>
      </c>
      <c r="B406" s="11" t="s">
        <v>13</v>
      </c>
      <c r="C406" s="11" t="s">
        <v>1699</v>
      </c>
      <c r="D406" s="11" t="s">
        <v>1690</v>
      </c>
      <c r="E406" s="11" t="s">
        <v>1700</v>
      </c>
      <c r="F406" s="11" t="s">
        <v>1697</v>
      </c>
      <c r="G406" s="12" t="s">
        <v>59</v>
      </c>
      <c r="H406" s="12" t="s">
        <v>59</v>
      </c>
      <c r="I406" s="12" t="s">
        <v>508</v>
      </c>
      <c r="J406" s="11" t="s">
        <v>1693</v>
      </c>
      <c r="K406" s="12" t="s">
        <v>62</v>
      </c>
      <c r="L406" s="12" t="s">
        <v>510</v>
      </c>
    </row>
    <row r="407" spans="1:12" ht="26.4" x14ac:dyDescent="0.3">
      <c r="A407" s="10" t="s">
        <v>1701</v>
      </c>
      <c r="B407" s="11" t="s">
        <v>13</v>
      </c>
      <c r="C407" s="11" t="s">
        <v>1702</v>
      </c>
      <c r="D407" s="11" t="s">
        <v>1703</v>
      </c>
      <c r="E407" s="11" t="s">
        <v>1704</v>
      </c>
      <c r="F407" s="11" t="s">
        <v>1345</v>
      </c>
      <c r="G407" s="12" t="s">
        <v>59</v>
      </c>
      <c r="H407" s="12" t="s">
        <v>59</v>
      </c>
      <c r="I407" s="12" t="s">
        <v>508</v>
      </c>
      <c r="J407" s="11" t="s">
        <v>1705</v>
      </c>
      <c r="K407" s="12" t="s">
        <v>62</v>
      </c>
      <c r="L407" s="12" t="s">
        <v>510</v>
      </c>
    </row>
    <row r="408" spans="1:12" ht="26.4" x14ac:dyDescent="0.3">
      <c r="A408" s="10" t="s">
        <v>1706</v>
      </c>
      <c r="B408" s="11" t="s">
        <v>13</v>
      </c>
      <c r="C408" s="11" t="s">
        <v>1707</v>
      </c>
      <c r="D408" s="11" t="s">
        <v>1703</v>
      </c>
      <c r="E408" s="11" t="s">
        <v>1708</v>
      </c>
      <c r="F408" s="11" t="s">
        <v>1355</v>
      </c>
      <c r="G408" s="12" t="s">
        <v>59</v>
      </c>
      <c r="H408" s="12" t="s">
        <v>59</v>
      </c>
      <c r="I408" s="12" t="s">
        <v>508</v>
      </c>
      <c r="J408" s="11" t="s">
        <v>1705</v>
      </c>
      <c r="K408" s="12" t="s">
        <v>62</v>
      </c>
      <c r="L408" s="12" t="s">
        <v>510</v>
      </c>
    </row>
    <row r="409" spans="1:12" ht="26.4" x14ac:dyDescent="0.3">
      <c r="A409" s="10" t="s">
        <v>1709</v>
      </c>
      <c r="B409" s="11" t="s">
        <v>13</v>
      </c>
      <c r="C409" s="11" t="s">
        <v>1710</v>
      </c>
      <c r="D409" s="11" t="s">
        <v>1703</v>
      </c>
      <c r="E409" s="11" t="s">
        <v>1711</v>
      </c>
      <c r="F409" s="11" t="s">
        <v>1345</v>
      </c>
      <c r="G409" s="12" t="s">
        <v>59</v>
      </c>
      <c r="H409" s="12" t="s">
        <v>59</v>
      </c>
      <c r="I409" s="12" t="s">
        <v>508</v>
      </c>
      <c r="J409" s="11" t="s">
        <v>1705</v>
      </c>
      <c r="K409" s="12" t="s">
        <v>62</v>
      </c>
      <c r="L409" s="12" t="s">
        <v>510</v>
      </c>
    </row>
    <row r="410" spans="1:12" ht="26.4" x14ac:dyDescent="0.3">
      <c r="A410" s="10" t="s">
        <v>1712</v>
      </c>
      <c r="B410" s="11" t="s">
        <v>13</v>
      </c>
      <c r="C410" s="11" t="s">
        <v>1713</v>
      </c>
      <c r="D410" s="11" t="s">
        <v>1703</v>
      </c>
      <c r="E410" s="11" t="s">
        <v>1714</v>
      </c>
      <c r="F410" s="11" t="s">
        <v>1355</v>
      </c>
      <c r="G410" s="12" t="s">
        <v>59</v>
      </c>
      <c r="H410" s="12" t="s">
        <v>59</v>
      </c>
      <c r="I410" s="12" t="s">
        <v>508</v>
      </c>
      <c r="J410" s="11" t="s">
        <v>1705</v>
      </c>
      <c r="K410" s="12" t="s">
        <v>62</v>
      </c>
      <c r="L410" s="12" t="s">
        <v>510</v>
      </c>
    </row>
    <row r="411" spans="1:12" ht="26.4" x14ac:dyDescent="0.3">
      <c r="A411" s="10" t="s">
        <v>1715</v>
      </c>
      <c r="B411" s="11" t="s">
        <v>13</v>
      </c>
      <c r="C411" s="11" t="s">
        <v>1716</v>
      </c>
      <c r="D411" s="11" t="s">
        <v>1703</v>
      </c>
      <c r="E411" s="11" t="s">
        <v>1717</v>
      </c>
      <c r="F411" s="11" t="s">
        <v>1345</v>
      </c>
      <c r="G411" s="12" t="s">
        <v>59</v>
      </c>
      <c r="H411" s="12" t="s">
        <v>59</v>
      </c>
      <c r="I411" s="12" t="s">
        <v>508</v>
      </c>
      <c r="J411" s="11" t="s">
        <v>1705</v>
      </c>
      <c r="K411" s="12" t="s">
        <v>62</v>
      </c>
      <c r="L411" s="12" t="s">
        <v>510</v>
      </c>
    </row>
    <row r="412" spans="1:12" ht="26.4" x14ac:dyDescent="0.3">
      <c r="A412" s="10" t="s">
        <v>1718</v>
      </c>
      <c r="B412" s="11" t="s">
        <v>13</v>
      </c>
      <c r="C412" s="11" t="s">
        <v>1719</v>
      </c>
      <c r="D412" s="11" t="s">
        <v>1703</v>
      </c>
      <c r="E412" s="11" t="s">
        <v>1720</v>
      </c>
      <c r="F412" s="11" t="s">
        <v>1355</v>
      </c>
      <c r="G412" s="12" t="s">
        <v>59</v>
      </c>
      <c r="H412" s="12" t="s">
        <v>59</v>
      </c>
      <c r="I412" s="12" t="s">
        <v>508</v>
      </c>
      <c r="J412" s="11" t="s">
        <v>1705</v>
      </c>
      <c r="K412" s="12" t="s">
        <v>62</v>
      </c>
      <c r="L412" s="12" t="s">
        <v>510</v>
      </c>
    </row>
    <row r="413" spans="1:12" ht="26.4" x14ac:dyDescent="0.3">
      <c r="A413" s="10" t="s">
        <v>1721</v>
      </c>
      <c r="B413" s="11" t="s">
        <v>13</v>
      </c>
      <c r="C413" s="11" t="s">
        <v>1722</v>
      </c>
      <c r="D413" s="11" t="s">
        <v>1723</v>
      </c>
      <c r="E413" s="11" t="s">
        <v>1724</v>
      </c>
      <c r="F413" s="11" t="s">
        <v>1725</v>
      </c>
      <c r="G413" s="12" t="s">
        <v>59</v>
      </c>
      <c r="H413" s="12" t="s">
        <v>59</v>
      </c>
      <c r="I413" s="12" t="s">
        <v>508</v>
      </c>
      <c r="J413" s="11" t="s">
        <v>1726</v>
      </c>
      <c r="K413" s="12" t="s">
        <v>62</v>
      </c>
      <c r="L413" s="12" t="s">
        <v>510</v>
      </c>
    </row>
    <row r="414" spans="1:12" ht="26.4" x14ac:dyDescent="0.3">
      <c r="A414" s="10" t="s">
        <v>1727</v>
      </c>
      <c r="B414" s="11" t="s">
        <v>13</v>
      </c>
      <c r="C414" s="11" t="s">
        <v>1728</v>
      </c>
      <c r="D414" s="11" t="s">
        <v>1723</v>
      </c>
      <c r="E414" s="11" t="s">
        <v>1729</v>
      </c>
      <c r="F414" s="11" t="s">
        <v>1730</v>
      </c>
      <c r="G414" s="12" t="s">
        <v>59</v>
      </c>
      <c r="H414" s="12" t="s">
        <v>59</v>
      </c>
      <c r="I414" s="12" t="s">
        <v>508</v>
      </c>
      <c r="J414" s="11" t="s">
        <v>1726</v>
      </c>
      <c r="K414" s="12" t="s">
        <v>62</v>
      </c>
      <c r="L414" s="12" t="s">
        <v>510</v>
      </c>
    </row>
    <row r="415" spans="1:12" ht="26.4" x14ac:dyDescent="0.3">
      <c r="A415" s="10" t="s">
        <v>1731</v>
      </c>
      <c r="B415" s="11" t="s">
        <v>13</v>
      </c>
      <c r="C415" s="11" t="s">
        <v>1732</v>
      </c>
      <c r="D415" s="11" t="s">
        <v>1723</v>
      </c>
      <c r="E415" s="11" t="s">
        <v>1733</v>
      </c>
      <c r="F415" s="11" t="s">
        <v>1730</v>
      </c>
      <c r="G415" s="12" t="s">
        <v>59</v>
      </c>
      <c r="H415" s="12" t="s">
        <v>59</v>
      </c>
      <c r="I415" s="12" t="s">
        <v>508</v>
      </c>
      <c r="J415" s="11" t="s">
        <v>1726</v>
      </c>
      <c r="K415" s="12" t="s">
        <v>62</v>
      </c>
      <c r="L415" s="12" t="s">
        <v>510</v>
      </c>
    </row>
    <row r="416" spans="1:12" ht="26.4" x14ac:dyDescent="0.3">
      <c r="A416" s="10" t="s">
        <v>1734</v>
      </c>
      <c r="B416" s="11" t="s">
        <v>13</v>
      </c>
      <c r="C416" s="11" t="s">
        <v>1735</v>
      </c>
      <c r="D416" s="11" t="s">
        <v>1723</v>
      </c>
      <c r="E416" s="11" t="s">
        <v>1736</v>
      </c>
      <c r="F416" s="11" t="s">
        <v>1725</v>
      </c>
      <c r="G416" s="12" t="s">
        <v>59</v>
      </c>
      <c r="H416" s="12" t="s">
        <v>59</v>
      </c>
      <c r="I416" s="12" t="s">
        <v>508</v>
      </c>
      <c r="J416" s="11" t="s">
        <v>1726</v>
      </c>
      <c r="K416" s="12" t="s">
        <v>62</v>
      </c>
      <c r="L416" s="12" t="s">
        <v>510</v>
      </c>
    </row>
    <row r="417" spans="1:12" ht="26.4" x14ac:dyDescent="0.3">
      <c r="A417" s="10" t="s">
        <v>1737</v>
      </c>
      <c r="B417" s="11" t="s">
        <v>13</v>
      </c>
      <c r="C417" s="11" t="s">
        <v>1738</v>
      </c>
      <c r="D417" s="11" t="s">
        <v>1723</v>
      </c>
      <c r="E417" s="11" t="s">
        <v>1739</v>
      </c>
      <c r="F417" s="11" t="s">
        <v>1725</v>
      </c>
      <c r="G417" s="12" t="s">
        <v>59</v>
      </c>
      <c r="H417" s="12" t="s">
        <v>59</v>
      </c>
      <c r="I417" s="12" t="s">
        <v>508</v>
      </c>
      <c r="J417" s="11" t="s">
        <v>1726</v>
      </c>
      <c r="K417" s="12" t="s">
        <v>62</v>
      </c>
      <c r="L417" s="12" t="s">
        <v>510</v>
      </c>
    </row>
    <row r="418" spans="1:12" ht="26.4" x14ac:dyDescent="0.3">
      <c r="A418" s="10" t="s">
        <v>1740</v>
      </c>
      <c r="B418" s="11" t="s">
        <v>13</v>
      </c>
      <c r="C418" s="11" t="s">
        <v>1741</v>
      </c>
      <c r="D418" s="11" t="s">
        <v>1742</v>
      </c>
      <c r="E418" s="11" t="s">
        <v>1743</v>
      </c>
      <c r="F418" s="11" t="s">
        <v>1744</v>
      </c>
      <c r="G418" s="12" t="s">
        <v>59</v>
      </c>
      <c r="H418" s="12" t="s">
        <v>59</v>
      </c>
      <c r="I418" s="12" t="s">
        <v>508</v>
      </c>
      <c r="J418" s="11" t="s">
        <v>1745</v>
      </c>
      <c r="K418" s="12" t="s">
        <v>62</v>
      </c>
      <c r="L418" s="12" t="s">
        <v>510</v>
      </c>
    </row>
    <row r="419" spans="1:12" ht="26.4" x14ac:dyDescent="0.3">
      <c r="A419" s="10" t="s">
        <v>1746</v>
      </c>
      <c r="B419" s="11" t="s">
        <v>13</v>
      </c>
      <c r="C419" s="11" t="s">
        <v>1747</v>
      </c>
      <c r="D419" s="11" t="s">
        <v>1742</v>
      </c>
      <c r="E419" s="11" t="s">
        <v>1748</v>
      </c>
      <c r="F419" s="11" t="s">
        <v>1744</v>
      </c>
      <c r="G419" s="12" t="s">
        <v>59</v>
      </c>
      <c r="H419" s="12" t="s">
        <v>59</v>
      </c>
      <c r="I419" s="12" t="s">
        <v>508</v>
      </c>
      <c r="J419" s="11" t="s">
        <v>1745</v>
      </c>
      <c r="K419" s="12" t="s">
        <v>62</v>
      </c>
      <c r="L419" s="12" t="s">
        <v>510</v>
      </c>
    </row>
    <row r="420" spans="1:12" ht="26.4" x14ac:dyDescent="0.3">
      <c r="A420" s="10" t="s">
        <v>1749</v>
      </c>
      <c r="B420" s="11" t="s">
        <v>13</v>
      </c>
      <c r="C420" s="11" t="s">
        <v>1750</v>
      </c>
      <c r="D420" s="11" t="s">
        <v>1742</v>
      </c>
      <c r="E420" s="11" t="s">
        <v>1751</v>
      </c>
      <c r="F420" s="11" t="s">
        <v>1744</v>
      </c>
      <c r="G420" s="12" t="s">
        <v>59</v>
      </c>
      <c r="H420" s="12" t="s">
        <v>59</v>
      </c>
      <c r="I420" s="12" t="s">
        <v>508</v>
      </c>
      <c r="J420" s="11" t="s">
        <v>1745</v>
      </c>
      <c r="K420" s="12" t="s">
        <v>62</v>
      </c>
      <c r="L420" s="12" t="s">
        <v>510</v>
      </c>
    </row>
    <row r="421" spans="1:12" ht="26.4" x14ac:dyDescent="0.3">
      <c r="A421" s="10" t="s">
        <v>1752</v>
      </c>
      <c r="B421" s="11" t="s">
        <v>13</v>
      </c>
      <c r="C421" s="11" t="s">
        <v>1753</v>
      </c>
      <c r="D421" s="11" t="s">
        <v>1742</v>
      </c>
      <c r="E421" s="11" t="s">
        <v>1754</v>
      </c>
      <c r="F421" s="11" t="s">
        <v>1744</v>
      </c>
      <c r="G421" s="12" t="s">
        <v>59</v>
      </c>
      <c r="H421" s="12" t="s">
        <v>59</v>
      </c>
      <c r="I421" s="12" t="s">
        <v>508</v>
      </c>
      <c r="J421" s="11" t="s">
        <v>1745</v>
      </c>
      <c r="K421" s="12" t="s">
        <v>62</v>
      </c>
      <c r="L421" s="12" t="s">
        <v>510</v>
      </c>
    </row>
    <row r="422" spans="1:12" ht="26.4" x14ac:dyDescent="0.3">
      <c r="A422" s="10" t="s">
        <v>1755</v>
      </c>
      <c r="B422" s="11" t="s">
        <v>13</v>
      </c>
      <c r="C422" s="11" t="s">
        <v>1756</v>
      </c>
      <c r="D422" s="11" t="s">
        <v>1742</v>
      </c>
      <c r="E422" s="11" t="s">
        <v>1757</v>
      </c>
      <c r="F422" s="11" t="s">
        <v>1758</v>
      </c>
      <c r="G422" s="12" t="s">
        <v>59</v>
      </c>
      <c r="H422" s="12" t="s">
        <v>59</v>
      </c>
      <c r="I422" s="12" t="s">
        <v>508</v>
      </c>
      <c r="J422" s="11" t="s">
        <v>1745</v>
      </c>
      <c r="K422" s="12" t="s">
        <v>62</v>
      </c>
      <c r="L422" s="12" t="s">
        <v>510</v>
      </c>
    </row>
    <row r="423" spans="1:12" ht="26.4" x14ac:dyDescent="0.3">
      <c r="A423" s="10" t="s">
        <v>1759</v>
      </c>
      <c r="B423" s="11" t="s">
        <v>13</v>
      </c>
      <c r="C423" s="11" t="s">
        <v>1760</v>
      </c>
      <c r="D423" s="11" t="s">
        <v>1742</v>
      </c>
      <c r="E423" s="11" t="s">
        <v>1761</v>
      </c>
      <c r="F423" s="11" t="s">
        <v>1758</v>
      </c>
      <c r="G423" s="12" t="s">
        <v>59</v>
      </c>
      <c r="H423" s="12" t="s">
        <v>59</v>
      </c>
      <c r="I423" s="12" t="s">
        <v>508</v>
      </c>
      <c r="J423" s="11" t="s">
        <v>1745</v>
      </c>
      <c r="K423" s="12" t="s">
        <v>62</v>
      </c>
      <c r="L423" s="12" t="s">
        <v>510</v>
      </c>
    </row>
    <row r="424" spans="1:12" ht="26.4" x14ac:dyDescent="0.3">
      <c r="A424" s="10" t="s">
        <v>1762</v>
      </c>
      <c r="B424" s="11" t="s">
        <v>13</v>
      </c>
      <c r="C424" s="11" t="s">
        <v>1763</v>
      </c>
      <c r="D424" s="11" t="s">
        <v>1742</v>
      </c>
      <c r="E424" s="11" t="s">
        <v>1764</v>
      </c>
      <c r="F424" s="11" t="s">
        <v>1758</v>
      </c>
      <c r="G424" s="12" t="s">
        <v>59</v>
      </c>
      <c r="H424" s="12" t="s">
        <v>59</v>
      </c>
      <c r="I424" s="12" t="s">
        <v>508</v>
      </c>
      <c r="J424" s="11" t="s">
        <v>1745</v>
      </c>
      <c r="K424" s="12" t="s">
        <v>62</v>
      </c>
      <c r="L424" s="12" t="s">
        <v>510</v>
      </c>
    </row>
    <row r="425" spans="1:12" ht="26.4" x14ac:dyDescent="0.3">
      <c r="A425" s="10" t="s">
        <v>1765</v>
      </c>
      <c r="B425" s="11" t="s">
        <v>13</v>
      </c>
      <c r="C425" s="11" t="s">
        <v>1766</v>
      </c>
      <c r="D425" s="11" t="s">
        <v>1767</v>
      </c>
      <c r="E425" s="11" t="s">
        <v>1489</v>
      </c>
      <c r="F425" s="11" t="s">
        <v>1768</v>
      </c>
      <c r="G425" s="12" t="s">
        <v>59</v>
      </c>
      <c r="H425" s="12" t="s">
        <v>59</v>
      </c>
      <c r="I425" s="12" t="s">
        <v>508</v>
      </c>
      <c r="J425" s="11" t="s">
        <v>1769</v>
      </c>
      <c r="K425" s="12" t="s">
        <v>62</v>
      </c>
      <c r="L425" s="12" t="s">
        <v>510</v>
      </c>
    </row>
    <row r="426" spans="1:12" ht="26.4" x14ac:dyDescent="0.3">
      <c r="A426" s="10" t="s">
        <v>1770</v>
      </c>
      <c r="B426" s="11" t="s">
        <v>13</v>
      </c>
      <c r="C426" s="11" t="s">
        <v>1771</v>
      </c>
      <c r="D426" s="11" t="s">
        <v>1767</v>
      </c>
      <c r="E426" s="11" t="s">
        <v>1495</v>
      </c>
      <c r="F426" s="11" t="s">
        <v>1772</v>
      </c>
      <c r="G426" s="12" t="s">
        <v>59</v>
      </c>
      <c r="H426" s="12" t="s">
        <v>59</v>
      </c>
      <c r="I426" s="12" t="s">
        <v>508</v>
      </c>
      <c r="J426" s="11" t="s">
        <v>1769</v>
      </c>
      <c r="K426" s="12" t="s">
        <v>62</v>
      </c>
      <c r="L426" s="12" t="s">
        <v>510</v>
      </c>
    </row>
    <row r="427" spans="1:12" ht="39.6" x14ac:dyDescent="0.3">
      <c r="A427" s="10" t="s">
        <v>1773</v>
      </c>
      <c r="B427" s="11" t="s">
        <v>13</v>
      </c>
      <c r="C427" s="11" t="s">
        <v>1774</v>
      </c>
      <c r="D427" s="11" t="s">
        <v>1775</v>
      </c>
      <c r="E427" s="11" t="s">
        <v>1776</v>
      </c>
      <c r="F427" s="11" t="s">
        <v>1777</v>
      </c>
      <c r="G427" s="12" t="s">
        <v>59</v>
      </c>
      <c r="H427" s="12" t="s">
        <v>59</v>
      </c>
      <c r="I427" s="12" t="s">
        <v>508</v>
      </c>
      <c r="J427" s="11" t="s">
        <v>1778</v>
      </c>
      <c r="K427" s="12" t="s">
        <v>62</v>
      </c>
      <c r="L427" s="12" t="s">
        <v>510</v>
      </c>
    </row>
    <row r="428" spans="1:12" ht="39.6" x14ac:dyDescent="0.3">
      <c r="A428" s="10" t="s">
        <v>1779</v>
      </c>
      <c r="B428" s="11" t="s">
        <v>13</v>
      </c>
      <c r="C428" s="11" t="s">
        <v>1780</v>
      </c>
      <c r="D428" s="11" t="s">
        <v>1775</v>
      </c>
      <c r="E428" s="11" t="s">
        <v>1781</v>
      </c>
      <c r="F428" s="11" t="s">
        <v>1782</v>
      </c>
      <c r="G428" s="12" t="s">
        <v>59</v>
      </c>
      <c r="H428" s="12" t="s">
        <v>59</v>
      </c>
      <c r="I428" s="12" t="s">
        <v>508</v>
      </c>
      <c r="J428" s="11" t="s">
        <v>1778</v>
      </c>
      <c r="K428" s="12" t="s">
        <v>62</v>
      </c>
      <c r="L428" s="12" t="s">
        <v>510</v>
      </c>
    </row>
    <row r="429" spans="1:12" ht="39.6" x14ac:dyDescent="0.3">
      <c r="A429" s="10" t="s">
        <v>1783</v>
      </c>
      <c r="B429" s="11" t="s">
        <v>13</v>
      </c>
      <c r="C429" s="11" t="s">
        <v>1784</v>
      </c>
      <c r="D429" s="11" t="s">
        <v>1775</v>
      </c>
      <c r="E429" s="11" t="s">
        <v>1785</v>
      </c>
      <c r="F429" s="11" t="s">
        <v>1786</v>
      </c>
      <c r="G429" s="12" t="s">
        <v>59</v>
      </c>
      <c r="H429" s="12" t="s">
        <v>59</v>
      </c>
      <c r="I429" s="12" t="s">
        <v>508</v>
      </c>
      <c r="J429" s="11" t="s">
        <v>1778</v>
      </c>
      <c r="K429" s="12" t="s">
        <v>62</v>
      </c>
      <c r="L429" s="12" t="s">
        <v>510</v>
      </c>
    </row>
    <row r="430" spans="1:12" ht="39.6" x14ac:dyDescent="0.3">
      <c r="A430" s="10" t="s">
        <v>1787</v>
      </c>
      <c r="B430" s="11" t="s">
        <v>13</v>
      </c>
      <c r="C430" s="11" t="s">
        <v>1788</v>
      </c>
      <c r="D430" s="11" t="s">
        <v>1775</v>
      </c>
      <c r="E430" s="11" t="s">
        <v>1789</v>
      </c>
      <c r="F430" s="11" t="s">
        <v>1790</v>
      </c>
      <c r="G430" s="12" t="s">
        <v>59</v>
      </c>
      <c r="H430" s="12" t="s">
        <v>59</v>
      </c>
      <c r="I430" s="12" t="s">
        <v>508</v>
      </c>
      <c r="J430" s="11" t="s">
        <v>1778</v>
      </c>
      <c r="K430" s="12" t="s">
        <v>62</v>
      </c>
      <c r="L430" s="12" t="s">
        <v>510</v>
      </c>
    </row>
    <row r="431" spans="1:12" ht="39.6" x14ac:dyDescent="0.3">
      <c r="A431" s="10" t="s">
        <v>1791</v>
      </c>
      <c r="B431" s="11" t="s">
        <v>13</v>
      </c>
      <c r="C431" s="11" t="s">
        <v>1792</v>
      </c>
      <c r="D431" s="11" t="s">
        <v>1775</v>
      </c>
      <c r="E431" s="11" t="s">
        <v>1793</v>
      </c>
      <c r="F431" s="11" t="s">
        <v>1777</v>
      </c>
      <c r="G431" s="12" t="s">
        <v>59</v>
      </c>
      <c r="H431" s="12" t="s">
        <v>59</v>
      </c>
      <c r="I431" s="12" t="s">
        <v>508</v>
      </c>
      <c r="J431" s="11" t="s">
        <v>1778</v>
      </c>
      <c r="K431" s="12" t="s">
        <v>62</v>
      </c>
      <c r="L431" s="12" t="s">
        <v>510</v>
      </c>
    </row>
    <row r="432" spans="1:12" ht="39.6" x14ac:dyDescent="0.3">
      <c r="A432" s="10" t="s">
        <v>1794</v>
      </c>
      <c r="B432" s="11" t="s">
        <v>13</v>
      </c>
      <c r="C432" s="11" t="s">
        <v>1795</v>
      </c>
      <c r="D432" s="11" t="s">
        <v>1775</v>
      </c>
      <c r="E432" s="11" t="s">
        <v>1796</v>
      </c>
      <c r="F432" s="11" t="s">
        <v>1797</v>
      </c>
      <c r="G432" s="12" t="s">
        <v>59</v>
      </c>
      <c r="H432" s="12" t="s">
        <v>59</v>
      </c>
      <c r="I432" s="12" t="s">
        <v>508</v>
      </c>
      <c r="J432" s="11" t="s">
        <v>1778</v>
      </c>
      <c r="K432" s="12" t="s">
        <v>62</v>
      </c>
      <c r="L432" s="12" t="s">
        <v>510</v>
      </c>
    </row>
    <row r="433" spans="1:12" ht="39.6" x14ac:dyDescent="0.3">
      <c r="A433" s="10" t="s">
        <v>1798</v>
      </c>
      <c r="B433" s="11" t="s">
        <v>13</v>
      </c>
      <c r="C433" s="11" t="s">
        <v>1799</v>
      </c>
      <c r="D433" s="11" t="s">
        <v>1775</v>
      </c>
      <c r="E433" s="11" t="s">
        <v>1800</v>
      </c>
      <c r="F433" s="11" t="s">
        <v>1801</v>
      </c>
      <c r="G433" s="12" t="s">
        <v>59</v>
      </c>
      <c r="H433" s="12" t="s">
        <v>59</v>
      </c>
      <c r="I433" s="12" t="s">
        <v>508</v>
      </c>
      <c r="J433" s="11" t="s">
        <v>1778</v>
      </c>
      <c r="K433" s="12" t="s">
        <v>62</v>
      </c>
      <c r="L433" s="12" t="s">
        <v>510</v>
      </c>
    </row>
    <row r="434" spans="1:12" ht="39.6" x14ac:dyDescent="0.3">
      <c r="A434" s="10" t="s">
        <v>1802</v>
      </c>
      <c r="B434" s="11" t="s">
        <v>13</v>
      </c>
      <c r="C434" s="11" t="s">
        <v>1803</v>
      </c>
      <c r="D434" s="11" t="s">
        <v>1775</v>
      </c>
      <c r="E434" s="11" t="s">
        <v>1804</v>
      </c>
      <c r="F434" s="11" t="s">
        <v>1805</v>
      </c>
      <c r="G434" s="12" t="s">
        <v>59</v>
      </c>
      <c r="H434" s="12" t="s">
        <v>59</v>
      </c>
      <c r="I434" s="12" t="s">
        <v>508</v>
      </c>
      <c r="J434" s="11" t="s">
        <v>1778</v>
      </c>
      <c r="K434" s="12" t="s">
        <v>62</v>
      </c>
      <c r="L434" s="12" t="s">
        <v>510</v>
      </c>
    </row>
    <row r="435" spans="1:12" ht="26.4" x14ac:dyDescent="0.3">
      <c r="A435" s="10" t="s">
        <v>1806</v>
      </c>
      <c r="B435" s="11" t="s">
        <v>13</v>
      </c>
      <c r="C435" s="11" t="s">
        <v>1807</v>
      </c>
      <c r="D435" s="11" t="s">
        <v>1808</v>
      </c>
      <c r="E435" s="11" t="s">
        <v>1809</v>
      </c>
      <c r="F435" s="11" t="s">
        <v>1810</v>
      </c>
      <c r="G435" s="12" t="s">
        <v>59</v>
      </c>
      <c r="H435" s="12" t="s">
        <v>59</v>
      </c>
      <c r="I435" s="12" t="s">
        <v>508</v>
      </c>
      <c r="J435" s="11" t="s">
        <v>1811</v>
      </c>
      <c r="K435" s="12" t="s">
        <v>62</v>
      </c>
      <c r="L435" s="12" t="s">
        <v>510</v>
      </c>
    </row>
    <row r="436" spans="1:12" ht="26.4" x14ac:dyDescent="0.3">
      <c r="A436" s="10" t="s">
        <v>1812</v>
      </c>
      <c r="B436" s="11" t="s">
        <v>13</v>
      </c>
      <c r="C436" s="11" t="s">
        <v>1813</v>
      </c>
      <c r="D436" s="11" t="s">
        <v>1808</v>
      </c>
      <c r="E436" s="11" t="s">
        <v>1814</v>
      </c>
      <c r="F436" s="11" t="s">
        <v>1815</v>
      </c>
      <c r="G436" s="12" t="s">
        <v>59</v>
      </c>
      <c r="H436" s="12" t="s">
        <v>59</v>
      </c>
      <c r="I436" s="12" t="s">
        <v>508</v>
      </c>
      <c r="J436" s="11" t="s">
        <v>1811</v>
      </c>
      <c r="K436" s="12" t="s">
        <v>62</v>
      </c>
      <c r="L436" s="12" t="s">
        <v>510</v>
      </c>
    </row>
    <row r="437" spans="1:12" ht="26.4" x14ac:dyDescent="0.3">
      <c r="A437" s="10" t="s">
        <v>1816</v>
      </c>
      <c r="B437" s="11" t="s">
        <v>13</v>
      </c>
      <c r="C437" s="11" t="s">
        <v>1817</v>
      </c>
      <c r="D437" s="11" t="s">
        <v>1818</v>
      </c>
      <c r="E437" s="11" t="s">
        <v>1819</v>
      </c>
      <c r="F437" s="11" t="s">
        <v>1466</v>
      </c>
      <c r="G437" s="12" t="s">
        <v>59</v>
      </c>
      <c r="H437" s="12" t="s">
        <v>59</v>
      </c>
      <c r="I437" s="12" t="s">
        <v>508</v>
      </c>
      <c r="J437" s="11" t="s">
        <v>1820</v>
      </c>
      <c r="K437" s="12" t="s">
        <v>62</v>
      </c>
      <c r="L437" s="12" t="s">
        <v>510</v>
      </c>
    </row>
    <row r="438" spans="1:12" ht="26.4" x14ac:dyDescent="0.3">
      <c r="A438" s="10" t="s">
        <v>1821</v>
      </c>
      <c r="B438" s="11" t="s">
        <v>13</v>
      </c>
      <c r="C438" s="11" t="s">
        <v>1822</v>
      </c>
      <c r="D438" s="11" t="s">
        <v>1818</v>
      </c>
      <c r="E438" s="11" t="s">
        <v>1819</v>
      </c>
      <c r="F438" s="11" t="s">
        <v>251</v>
      </c>
      <c r="G438" s="12" t="s">
        <v>59</v>
      </c>
      <c r="H438" s="12" t="s">
        <v>59</v>
      </c>
      <c r="I438" s="12" t="s">
        <v>508</v>
      </c>
      <c r="J438" s="11" t="s">
        <v>1820</v>
      </c>
      <c r="K438" s="12" t="s">
        <v>62</v>
      </c>
      <c r="L438" s="12" t="s">
        <v>510</v>
      </c>
    </row>
    <row r="439" spans="1:12" ht="26.4" x14ac:dyDescent="0.3">
      <c r="A439" s="10" t="s">
        <v>1823</v>
      </c>
      <c r="B439" s="11" t="s">
        <v>13</v>
      </c>
      <c r="C439" s="11" t="s">
        <v>1824</v>
      </c>
      <c r="D439" s="11" t="s">
        <v>1818</v>
      </c>
      <c r="E439" s="11" t="s">
        <v>1819</v>
      </c>
      <c r="F439" s="11" t="s">
        <v>1500</v>
      </c>
      <c r="G439" s="12" t="s">
        <v>59</v>
      </c>
      <c r="H439" s="12" t="s">
        <v>59</v>
      </c>
      <c r="I439" s="12" t="s">
        <v>508</v>
      </c>
      <c r="J439" s="11" t="s">
        <v>1820</v>
      </c>
      <c r="K439" s="12" t="s">
        <v>62</v>
      </c>
      <c r="L439" s="12" t="s">
        <v>510</v>
      </c>
    </row>
    <row r="440" spans="1:12" ht="26.4" x14ac:dyDescent="0.3">
      <c r="A440" s="10" t="s">
        <v>1825</v>
      </c>
      <c r="B440" s="11" t="s">
        <v>13</v>
      </c>
      <c r="C440" s="11" t="s">
        <v>1826</v>
      </c>
      <c r="D440" s="11" t="s">
        <v>1818</v>
      </c>
      <c r="E440" s="11" t="s">
        <v>1819</v>
      </c>
      <c r="F440" s="11" t="s">
        <v>1827</v>
      </c>
      <c r="G440" s="12" t="s">
        <v>59</v>
      </c>
      <c r="H440" s="12" t="s">
        <v>59</v>
      </c>
      <c r="I440" s="12" t="s">
        <v>508</v>
      </c>
      <c r="J440" s="11" t="s">
        <v>1820</v>
      </c>
      <c r="K440" s="12" t="s">
        <v>62</v>
      </c>
      <c r="L440" s="12" t="s">
        <v>510</v>
      </c>
    </row>
    <row r="441" spans="1:12" ht="39.6" x14ac:dyDescent="0.3">
      <c r="A441" s="10" t="s">
        <v>1828</v>
      </c>
      <c r="B441" s="11" t="s">
        <v>13</v>
      </c>
      <c r="C441" s="11" t="s">
        <v>1829</v>
      </c>
      <c r="D441" s="11" t="s">
        <v>1830</v>
      </c>
      <c r="E441" s="11" t="s">
        <v>1831</v>
      </c>
      <c r="F441" s="11" t="s">
        <v>1832</v>
      </c>
      <c r="G441" s="12" t="s">
        <v>59</v>
      </c>
      <c r="H441" s="12" t="s">
        <v>59</v>
      </c>
      <c r="I441" s="12" t="s">
        <v>508</v>
      </c>
      <c r="J441" s="11" t="s">
        <v>1833</v>
      </c>
      <c r="K441" s="12" t="s">
        <v>62</v>
      </c>
      <c r="L441" s="12" t="s">
        <v>510</v>
      </c>
    </row>
    <row r="442" spans="1:12" ht="39.6" x14ac:dyDescent="0.3">
      <c r="A442" s="10" t="s">
        <v>1834</v>
      </c>
      <c r="B442" s="11" t="s">
        <v>13</v>
      </c>
      <c r="C442" s="11" t="s">
        <v>1835</v>
      </c>
      <c r="D442" s="11" t="s">
        <v>1830</v>
      </c>
      <c r="E442" s="11" t="s">
        <v>1836</v>
      </c>
      <c r="F442" s="11" t="s">
        <v>1837</v>
      </c>
      <c r="G442" s="12" t="s">
        <v>59</v>
      </c>
      <c r="H442" s="12" t="s">
        <v>59</v>
      </c>
      <c r="I442" s="12" t="s">
        <v>508</v>
      </c>
      <c r="J442" s="11" t="s">
        <v>1833</v>
      </c>
      <c r="K442" s="12" t="s">
        <v>62</v>
      </c>
      <c r="L442" s="12" t="s">
        <v>510</v>
      </c>
    </row>
    <row r="443" spans="1:12" ht="39.6" x14ac:dyDescent="0.3">
      <c r="A443" s="10" t="s">
        <v>1838</v>
      </c>
      <c r="B443" s="11" t="s">
        <v>13</v>
      </c>
      <c r="C443" s="11" t="s">
        <v>1839</v>
      </c>
      <c r="D443" s="11" t="s">
        <v>1830</v>
      </c>
      <c r="E443" s="11" t="s">
        <v>1840</v>
      </c>
      <c r="F443" s="11" t="s">
        <v>1832</v>
      </c>
      <c r="G443" s="12" t="s">
        <v>59</v>
      </c>
      <c r="H443" s="12" t="s">
        <v>59</v>
      </c>
      <c r="I443" s="12" t="s">
        <v>508</v>
      </c>
      <c r="J443" s="11" t="s">
        <v>1833</v>
      </c>
      <c r="K443" s="12" t="s">
        <v>62</v>
      </c>
      <c r="L443" s="12" t="s">
        <v>510</v>
      </c>
    </row>
    <row r="444" spans="1:12" ht="39.6" x14ac:dyDescent="0.3">
      <c r="A444" s="10" t="s">
        <v>1841</v>
      </c>
      <c r="B444" s="11" t="s">
        <v>13</v>
      </c>
      <c r="C444" s="11" t="s">
        <v>1842</v>
      </c>
      <c r="D444" s="11" t="s">
        <v>1830</v>
      </c>
      <c r="E444" s="11" t="s">
        <v>1843</v>
      </c>
      <c r="F444" s="11" t="s">
        <v>1832</v>
      </c>
      <c r="G444" s="12" t="s">
        <v>59</v>
      </c>
      <c r="H444" s="12" t="s">
        <v>59</v>
      </c>
      <c r="I444" s="12" t="s">
        <v>508</v>
      </c>
      <c r="J444" s="11" t="s">
        <v>1833</v>
      </c>
      <c r="K444" s="12" t="s">
        <v>62</v>
      </c>
      <c r="L444" s="12" t="s">
        <v>510</v>
      </c>
    </row>
    <row r="445" spans="1:12" ht="39.6" x14ac:dyDescent="0.3">
      <c r="A445" s="10" t="s">
        <v>1844</v>
      </c>
      <c r="B445" s="11" t="s">
        <v>13</v>
      </c>
      <c r="C445" s="11" t="s">
        <v>1845</v>
      </c>
      <c r="D445" s="11" t="s">
        <v>1830</v>
      </c>
      <c r="E445" s="11" t="s">
        <v>1846</v>
      </c>
      <c r="F445" s="11" t="s">
        <v>1832</v>
      </c>
      <c r="G445" s="12" t="s">
        <v>59</v>
      </c>
      <c r="H445" s="12" t="s">
        <v>59</v>
      </c>
      <c r="I445" s="12" t="s">
        <v>508</v>
      </c>
      <c r="J445" s="11" t="s">
        <v>1833</v>
      </c>
      <c r="K445" s="12" t="s">
        <v>62</v>
      </c>
      <c r="L445" s="12" t="s">
        <v>510</v>
      </c>
    </row>
    <row r="446" spans="1:12" ht="39.6" x14ac:dyDescent="0.3">
      <c r="A446" s="10" t="s">
        <v>1847</v>
      </c>
      <c r="B446" s="11" t="s">
        <v>13</v>
      </c>
      <c r="C446" s="11" t="s">
        <v>1848</v>
      </c>
      <c r="D446" s="11" t="s">
        <v>1830</v>
      </c>
      <c r="E446" s="11" t="s">
        <v>1849</v>
      </c>
      <c r="F446" s="11" t="s">
        <v>1837</v>
      </c>
      <c r="G446" s="12" t="s">
        <v>59</v>
      </c>
      <c r="H446" s="12" t="s">
        <v>59</v>
      </c>
      <c r="I446" s="12" t="s">
        <v>508</v>
      </c>
      <c r="J446" s="11" t="s">
        <v>1833</v>
      </c>
      <c r="K446" s="12" t="s">
        <v>62</v>
      </c>
      <c r="L446" s="12" t="s">
        <v>510</v>
      </c>
    </row>
    <row r="447" spans="1:12" ht="39.6" x14ac:dyDescent="0.3">
      <c r="A447" s="10" t="s">
        <v>1850</v>
      </c>
      <c r="B447" s="11" t="s">
        <v>13</v>
      </c>
      <c r="C447" s="11" t="s">
        <v>1851</v>
      </c>
      <c r="D447" s="11" t="s">
        <v>1830</v>
      </c>
      <c r="E447" s="11" t="s">
        <v>1852</v>
      </c>
      <c r="F447" s="11" t="s">
        <v>1837</v>
      </c>
      <c r="G447" s="12" t="s">
        <v>59</v>
      </c>
      <c r="H447" s="12" t="s">
        <v>59</v>
      </c>
      <c r="I447" s="12" t="s">
        <v>508</v>
      </c>
      <c r="J447" s="11" t="s">
        <v>1833</v>
      </c>
      <c r="K447" s="12" t="s">
        <v>62</v>
      </c>
      <c r="L447" s="12" t="s">
        <v>510</v>
      </c>
    </row>
    <row r="448" spans="1:12" ht="26.4" x14ac:dyDescent="0.3">
      <c r="A448" s="10" t="s">
        <v>1853</v>
      </c>
      <c r="B448" s="11" t="s">
        <v>13</v>
      </c>
      <c r="C448" s="11" t="s">
        <v>1854</v>
      </c>
      <c r="D448" s="11" t="s">
        <v>1855</v>
      </c>
      <c r="E448" s="11" t="s">
        <v>1856</v>
      </c>
      <c r="F448" s="11" t="s">
        <v>1300</v>
      </c>
      <c r="G448" s="12" t="s">
        <v>59</v>
      </c>
      <c r="H448" s="12" t="s">
        <v>59</v>
      </c>
      <c r="I448" s="12" t="s">
        <v>508</v>
      </c>
      <c r="J448" s="11" t="s">
        <v>1857</v>
      </c>
      <c r="K448" s="12" t="s">
        <v>62</v>
      </c>
      <c r="L448" s="12" t="s">
        <v>510</v>
      </c>
    </row>
    <row r="449" spans="1:12" ht="26.4" x14ac:dyDescent="0.3">
      <c r="A449" s="10" t="s">
        <v>1858</v>
      </c>
      <c r="B449" s="11" t="s">
        <v>13</v>
      </c>
      <c r="C449" s="11" t="s">
        <v>1859</v>
      </c>
      <c r="D449" s="11" t="s">
        <v>1855</v>
      </c>
      <c r="E449" s="11" t="s">
        <v>1860</v>
      </c>
      <c r="F449" s="11" t="s">
        <v>1300</v>
      </c>
      <c r="G449" s="12" t="s">
        <v>59</v>
      </c>
      <c r="H449" s="12" t="s">
        <v>59</v>
      </c>
      <c r="I449" s="12" t="s">
        <v>508</v>
      </c>
      <c r="J449" s="11" t="s">
        <v>1857</v>
      </c>
      <c r="K449" s="12" t="s">
        <v>62</v>
      </c>
      <c r="L449" s="12" t="s">
        <v>510</v>
      </c>
    </row>
    <row r="450" spans="1:12" ht="26.4" x14ac:dyDescent="0.3">
      <c r="A450" s="10" t="s">
        <v>1861</v>
      </c>
      <c r="B450" s="11" t="s">
        <v>13</v>
      </c>
      <c r="C450" s="11" t="s">
        <v>1862</v>
      </c>
      <c r="D450" s="11" t="s">
        <v>1863</v>
      </c>
      <c r="E450" s="11" t="s">
        <v>1864</v>
      </c>
      <c r="F450" s="11" t="s">
        <v>1865</v>
      </c>
      <c r="G450" s="12" t="s">
        <v>59</v>
      </c>
      <c r="H450" s="12" t="s">
        <v>59</v>
      </c>
      <c r="I450" s="12" t="s">
        <v>508</v>
      </c>
      <c r="J450" s="11" t="s">
        <v>1866</v>
      </c>
      <c r="K450" s="12" t="s">
        <v>62</v>
      </c>
      <c r="L450" s="12" t="s">
        <v>510</v>
      </c>
    </row>
    <row r="451" spans="1:12" ht="26.4" x14ac:dyDescent="0.3">
      <c r="A451" s="10" t="s">
        <v>1867</v>
      </c>
      <c r="B451" s="11" t="s">
        <v>13</v>
      </c>
      <c r="C451" s="11" t="s">
        <v>1868</v>
      </c>
      <c r="D451" s="11" t="s">
        <v>1863</v>
      </c>
      <c r="E451" s="11" t="s">
        <v>1869</v>
      </c>
      <c r="F451" s="11" t="s">
        <v>1870</v>
      </c>
      <c r="G451" s="12" t="s">
        <v>59</v>
      </c>
      <c r="H451" s="12" t="s">
        <v>59</v>
      </c>
      <c r="I451" s="12" t="s">
        <v>508</v>
      </c>
      <c r="J451" s="11" t="s">
        <v>1866</v>
      </c>
      <c r="K451" s="12" t="s">
        <v>62</v>
      </c>
      <c r="L451" s="12" t="s">
        <v>510</v>
      </c>
    </row>
    <row r="452" spans="1:12" ht="26.4" x14ac:dyDescent="0.3">
      <c r="A452" s="10" t="s">
        <v>1871</v>
      </c>
      <c r="B452" s="11" t="s">
        <v>13</v>
      </c>
      <c r="C452" s="11" t="s">
        <v>1872</v>
      </c>
      <c r="D452" s="11" t="s">
        <v>1873</v>
      </c>
      <c r="E452" s="11" t="s">
        <v>1874</v>
      </c>
      <c r="F452" s="11" t="s">
        <v>1875</v>
      </c>
      <c r="G452" s="12" t="s">
        <v>59</v>
      </c>
      <c r="H452" s="12" t="s">
        <v>59</v>
      </c>
      <c r="I452" s="12" t="s">
        <v>508</v>
      </c>
      <c r="J452" s="11" t="s">
        <v>1876</v>
      </c>
      <c r="K452" s="12" t="s">
        <v>62</v>
      </c>
      <c r="L452" s="12" t="s">
        <v>510</v>
      </c>
    </row>
    <row r="453" spans="1:12" ht="26.4" x14ac:dyDescent="0.3">
      <c r="A453" s="10" t="s">
        <v>1877</v>
      </c>
      <c r="B453" s="11" t="s">
        <v>13</v>
      </c>
      <c r="C453" s="11" t="s">
        <v>1878</v>
      </c>
      <c r="D453" s="11" t="s">
        <v>1873</v>
      </c>
      <c r="E453" s="11" t="s">
        <v>1874</v>
      </c>
      <c r="F453" s="11" t="s">
        <v>1879</v>
      </c>
      <c r="G453" s="12" t="s">
        <v>59</v>
      </c>
      <c r="H453" s="12" t="s">
        <v>59</v>
      </c>
      <c r="I453" s="12" t="s">
        <v>508</v>
      </c>
      <c r="J453" s="11" t="s">
        <v>1876</v>
      </c>
      <c r="K453" s="12" t="s">
        <v>62</v>
      </c>
      <c r="L453" s="12" t="s">
        <v>510</v>
      </c>
    </row>
    <row r="454" spans="1:12" ht="26.4" x14ac:dyDescent="0.3">
      <c r="A454" s="10" t="s">
        <v>1880</v>
      </c>
      <c r="B454" s="11" t="s">
        <v>13</v>
      </c>
      <c r="C454" s="11" t="s">
        <v>1881</v>
      </c>
      <c r="D454" s="11" t="s">
        <v>1873</v>
      </c>
      <c r="E454" s="11" t="s">
        <v>1874</v>
      </c>
      <c r="F454" s="11" t="s">
        <v>1879</v>
      </c>
      <c r="G454" s="12" t="s">
        <v>59</v>
      </c>
      <c r="H454" s="12" t="s">
        <v>59</v>
      </c>
      <c r="I454" s="12" t="s">
        <v>508</v>
      </c>
      <c r="J454" s="11" t="s">
        <v>1876</v>
      </c>
      <c r="K454" s="12" t="s">
        <v>62</v>
      </c>
      <c r="L454" s="12" t="s">
        <v>510</v>
      </c>
    </row>
    <row r="455" spans="1:12" ht="26.4" x14ac:dyDescent="0.3">
      <c r="A455" s="10" t="s">
        <v>1882</v>
      </c>
      <c r="B455" s="11" t="s">
        <v>13</v>
      </c>
      <c r="C455" s="11" t="s">
        <v>1883</v>
      </c>
      <c r="D455" s="11" t="s">
        <v>1873</v>
      </c>
      <c r="E455" s="11" t="s">
        <v>1874</v>
      </c>
      <c r="F455" s="11" t="s">
        <v>1879</v>
      </c>
      <c r="G455" s="12" t="s">
        <v>59</v>
      </c>
      <c r="H455" s="12" t="s">
        <v>59</v>
      </c>
      <c r="I455" s="12" t="s">
        <v>508</v>
      </c>
      <c r="J455" s="11" t="s">
        <v>1876</v>
      </c>
      <c r="K455" s="12" t="s">
        <v>62</v>
      </c>
      <c r="L455" s="12" t="s">
        <v>510</v>
      </c>
    </row>
    <row r="456" spans="1:12" ht="26.4" x14ac:dyDescent="0.3">
      <c r="A456" s="10" t="s">
        <v>1884</v>
      </c>
      <c r="B456" s="11" t="s">
        <v>13</v>
      </c>
      <c r="C456" s="11" t="s">
        <v>1885</v>
      </c>
      <c r="D456" s="11" t="s">
        <v>1873</v>
      </c>
      <c r="E456" s="11" t="s">
        <v>1874</v>
      </c>
      <c r="F456" s="11" t="s">
        <v>1879</v>
      </c>
      <c r="G456" s="12" t="s">
        <v>59</v>
      </c>
      <c r="H456" s="12" t="s">
        <v>59</v>
      </c>
      <c r="I456" s="12" t="s">
        <v>508</v>
      </c>
      <c r="J456" s="11" t="s">
        <v>1876</v>
      </c>
      <c r="K456" s="12" t="s">
        <v>62</v>
      </c>
      <c r="L456" s="12" t="s">
        <v>510</v>
      </c>
    </row>
    <row r="457" spans="1:12" ht="26.4" x14ac:dyDescent="0.3">
      <c r="A457" s="10" t="s">
        <v>1886</v>
      </c>
      <c r="B457" s="11" t="s">
        <v>13</v>
      </c>
      <c r="C457" s="11" t="s">
        <v>1887</v>
      </c>
      <c r="D457" s="11" t="s">
        <v>1888</v>
      </c>
      <c r="E457" s="11" t="s">
        <v>1889</v>
      </c>
      <c r="F457" s="11" t="s">
        <v>1890</v>
      </c>
      <c r="G457" s="12" t="s">
        <v>59</v>
      </c>
      <c r="H457" s="12" t="s">
        <v>59</v>
      </c>
      <c r="I457" s="12" t="s">
        <v>508</v>
      </c>
      <c r="J457" s="11" t="s">
        <v>1891</v>
      </c>
      <c r="K457" s="12" t="s">
        <v>62</v>
      </c>
      <c r="L457" s="12" t="s">
        <v>510</v>
      </c>
    </row>
    <row r="458" spans="1:12" ht="26.4" x14ac:dyDescent="0.3">
      <c r="A458" s="10" t="s">
        <v>1892</v>
      </c>
      <c r="B458" s="11" t="s">
        <v>13</v>
      </c>
      <c r="C458" s="11" t="s">
        <v>1893</v>
      </c>
      <c r="D458" s="11" t="s">
        <v>1888</v>
      </c>
      <c r="E458" s="11" t="s">
        <v>1894</v>
      </c>
      <c r="F458" s="11" t="s">
        <v>1895</v>
      </c>
      <c r="G458" s="12" t="s">
        <v>59</v>
      </c>
      <c r="H458" s="12" t="s">
        <v>59</v>
      </c>
      <c r="I458" s="12" t="s">
        <v>508</v>
      </c>
      <c r="J458" s="11" t="s">
        <v>1891</v>
      </c>
      <c r="K458" s="12" t="s">
        <v>62</v>
      </c>
      <c r="L458" s="12" t="s">
        <v>510</v>
      </c>
    </row>
    <row r="459" spans="1:12" ht="26.4" x14ac:dyDescent="0.3">
      <c r="A459" s="10" t="s">
        <v>1896</v>
      </c>
      <c r="B459" s="11" t="s">
        <v>13</v>
      </c>
      <c r="C459" s="11" t="s">
        <v>1897</v>
      </c>
      <c r="D459" s="11" t="s">
        <v>1888</v>
      </c>
      <c r="E459" s="11" t="s">
        <v>1898</v>
      </c>
      <c r="F459" s="11" t="s">
        <v>1899</v>
      </c>
      <c r="G459" s="12" t="s">
        <v>59</v>
      </c>
      <c r="H459" s="12" t="s">
        <v>59</v>
      </c>
      <c r="I459" s="12" t="s">
        <v>508</v>
      </c>
      <c r="J459" s="11" t="s">
        <v>1891</v>
      </c>
      <c r="K459" s="12" t="s">
        <v>62</v>
      </c>
      <c r="L459" s="12" t="s">
        <v>510</v>
      </c>
    </row>
    <row r="460" spans="1:12" ht="26.4" x14ac:dyDescent="0.3">
      <c r="A460" s="10" t="s">
        <v>1900</v>
      </c>
      <c r="B460" s="11" t="s">
        <v>13</v>
      </c>
      <c r="C460" s="11" t="s">
        <v>1901</v>
      </c>
      <c r="D460" s="11" t="s">
        <v>1888</v>
      </c>
      <c r="E460" s="11" t="s">
        <v>1902</v>
      </c>
      <c r="F460" s="11" t="s">
        <v>1903</v>
      </c>
      <c r="G460" s="12" t="s">
        <v>59</v>
      </c>
      <c r="H460" s="12" t="s">
        <v>59</v>
      </c>
      <c r="I460" s="12" t="s">
        <v>508</v>
      </c>
      <c r="J460" s="11" t="s">
        <v>1891</v>
      </c>
      <c r="K460" s="12" t="s">
        <v>62</v>
      </c>
      <c r="L460" s="12" t="s">
        <v>510</v>
      </c>
    </row>
    <row r="461" spans="1:12" ht="26.4" x14ac:dyDescent="0.3">
      <c r="A461" s="10" t="s">
        <v>1904</v>
      </c>
      <c r="B461" s="11" t="s">
        <v>13</v>
      </c>
      <c r="C461" s="11" t="s">
        <v>1905</v>
      </c>
      <c r="D461" s="11" t="s">
        <v>1888</v>
      </c>
      <c r="E461" s="11" t="s">
        <v>1906</v>
      </c>
      <c r="F461" s="11" t="s">
        <v>1907</v>
      </c>
      <c r="G461" s="12" t="s">
        <v>59</v>
      </c>
      <c r="H461" s="12" t="s">
        <v>59</v>
      </c>
      <c r="I461" s="12" t="s">
        <v>508</v>
      </c>
      <c r="J461" s="11" t="s">
        <v>1891</v>
      </c>
      <c r="K461" s="12" t="s">
        <v>62</v>
      </c>
      <c r="L461" s="12" t="s">
        <v>510</v>
      </c>
    </row>
    <row r="462" spans="1:12" ht="26.4" x14ac:dyDescent="0.3">
      <c r="A462" s="10" t="s">
        <v>1908</v>
      </c>
      <c r="B462" s="11" t="s">
        <v>13</v>
      </c>
      <c r="C462" s="11" t="s">
        <v>1909</v>
      </c>
      <c r="D462" s="11" t="s">
        <v>1910</v>
      </c>
      <c r="E462" s="11" t="s">
        <v>1911</v>
      </c>
      <c r="F462" s="11" t="s">
        <v>1912</v>
      </c>
      <c r="G462" s="12" t="s">
        <v>59</v>
      </c>
      <c r="H462" s="12" t="s">
        <v>59</v>
      </c>
      <c r="I462" s="12" t="s">
        <v>508</v>
      </c>
      <c r="J462" s="11" t="s">
        <v>1913</v>
      </c>
      <c r="K462" s="12" t="s">
        <v>62</v>
      </c>
      <c r="L462" s="12" t="s">
        <v>510</v>
      </c>
    </row>
    <row r="463" spans="1:12" ht="26.4" x14ac:dyDescent="0.3">
      <c r="A463" s="10" t="s">
        <v>1914</v>
      </c>
      <c r="B463" s="11" t="s">
        <v>13</v>
      </c>
      <c r="C463" s="11" t="s">
        <v>1909</v>
      </c>
      <c r="D463" s="11" t="s">
        <v>1910</v>
      </c>
      <c r="E463" s="11" t="s">
        <v>1915</v>
      </c>
      <c r="F463" s="11" t="s">
        <v>1912</v>
      </c>
      <c r="G463" s="12" t="s">
        <v>59</v>
      </c>
      <c r="H463" s="12" t="s">
        <v>59</v>
      </c>
      <c r="I463" s="12" t="s">
        <v>508</v>
      </c>
      <c r="J463" s="11" t="s">
        <v>1913</v>
      </c>
      <c r="K463" s="12" t="s">
        <v>62</v>
      </c>
      <c r="L463" s="12" t="s">
        <v>510</v>
      </c>
    </row>
    <row r="464" spans="1:12" ht="26.4" x14ac:dyDescent="0.3">
      <c r="A464" s="10" t="s">
        <v>1916</v>
      </c>
      <c r="B464" s="11" t="s">
        <v>13</v>
      </c>
      <c r="C464" s="11" t="s">
        <v>1909</v>
      </c>
      <c r="D464" s="11" t="s">
        <v>1910</v>
      </c>
      <c r="E464" s="11" t="s">
        <v>1917</v>
      </c>
      <c r="F464" s="11" t="s">
        <v>1912</v>
      </c>
      <c r="G464" s="12" t="s">
        <v>59</v>
      </c>
      <c r="H464" s="12" t="s">
        <v>59</v>
      </c>
      <c r="I464" s="12" t="s">
        <v>508</v>
      </c>
      <c r="J464" s="11" t="s">
        <v>1913</v>
      </c>
      <c r="K464" s="12" t="s">
        <v>62</v>
      </c>
      <c r="L464" s="12" t="s">
        <v>510</v>
      </c>
    </row>
    <row r="465" spans="1:12" ht="26.4" x14ac:dyDescent="0.3">
      <c r="A465" s="10" t="s">
        <v>1918</v>
      </c>
      <c r="B465" s="11" t="s">
        <v>13</v>
      </c>
      <c r="C465" s="11" t="s">
        <v>1919</v>
      </c>
      <c r="D465" s="11" t="s">
        <v>1920</v>
      </c>
      <c r="E465" s="11" t="s">
        <v>981</v>
      </c>
      <c r="F465" s="11" t="s">
        <v>1921</v>
      </c>
      <c r="G465" s="12" t="s">
        <v>59</v>
      </c>
      <c r="H465" s="12" t="s">
        <v>59</v>
      </c>
      <c r="I465" s="12" t="s">
        <v>508</v>
      </c>
      <c r="J465" s="11" t="s">
        <v>1922</v>
      </c>
      <c r="K465" s="12" t="s">
        <v>62</v>
      </c>
      <c r="L465" s="12" t="s">
        <v>510</v>
      </c>
    </row>
    <row r="466" spans="1:12" ht="26.4" x14ac:dyDescent="0.3">
      <c r="A466" s="10" t="s">
        <v>1923</v>
      </c>
      <c r="B466" s="11" t="s">
        <v>13</v>
      </c>
      <c r="C466" s="11" t="s">
        <v>1924</v>
      </c>
      <c r="D466" s="11" t="s">
        <v>1920</v>
      </c>
      <c r="E466" s="11" t="s">
        <v>986</v>
      </c>
      <c r="F466" s="11" t="s">
        <v>1921</v>
      </c>
      <c r="G466" s="12" t="s">
        <v>59</v>
      </c>
      <c r="H466" s="12" t="s">
        <v>59</v>
      </c>
      <c r="I466" s="12" t="s">
        <v>508</v>
      </c>
      <c r="J466" s="11" t="s">
        <v>1922</v>
      </c>
      <c r="K466" s="12" t="s">
        <v>62</v>
      </c>
      <c r="L466" s="12" t="s">
        <v>510</v>
      </c>
    </row>
    <row r="467" spans="1:12" ht="26.4" x14ac:dyDescent="0.3">
      <c r="A467" s="10" t="s">
        <v>1925</v>
      </c>
      <c r="B467" s="11" t="s">
        <v>13</v>
      </c>
      <c r="C467" s="11" t="s">
        <v>1926</v>
      </c>
      <c r="D467" s="11" t="s">
        <v>1920</v>
      </c>
      <c r="E467" s="11" t="s">
        <v>989</v>
      </c>
      <c r="F467" s="11" t="s">
        <v>1921</v>
      </c>
      <c r="G467" s="12" t="s">
        <v>59</v>
      </c>
      <c r="H467" s="12" t="s">
        <v>59</v>
      </c>
      <c r="I467" s="12" t="s">
        <v>508</v>
      </c>
      <c r="J467" s="11" t="s">
        <v>1922</v>
      </c>
      <c r="K467" s="12" t="s">
        <v>62</v>
      </c>
      <c r="L467" s="12" t="s">
        <v>510</v>
      </c>
    </row>
    <row r="468" spans="1:12" ht="26.4" x14ac:dyDescent="0.3">
      <c r="A468" s="10" t="s">
        <v>1927</v>
      </c>
      <c r="B468" s="11" t="s">
        <v>13</v>
      </c>
      <c r="C468" s="11" t="s">
        <v>1928</v>
      </c>
      <c r="D468" s="11" t="s">
        <v>1920</v>
      </c>
      <c r="E468" s="11" t="s">
        <v>238</v>
      </c>
      <c r="F468" s="11" t="s">
        <v>1921</v>
      </c>
      <c r="G468" s="12" t="s">
        <v>59</v>
      </c>
      <c r="H468" s="12" t="s">
        <v>59</v>
      </c>
      <c r="I468" s="12" t="s">
        <v>508</v>
      </c>
      <c r="J468" s="11" t="s">
        <v>1922</v>
      </c>
      <c r="K468" s="12" t="s">
        <v>62</v>
      </c>
      <c r="L468" s="12" t="s">
        <v>510</v>
      </c>
    </row>
    <row r="469" spans="1:12" ht="26.4" x14ac:dyDescent="0.3">
      <c r="A469" s="10" t="s">
        <v>1929</v>
      </c>
      <c r="B469" s="11" t="s">
        <v>13</v>
      </c>
      <c r="C469" s="11" t="s">
        <v>1930</v>
      </c>
      <c r="D469" s="11" t="s">
        <v>1920</v>
      </c>
      <c r="E469" s="11" t="s">
        <v>994</v>
      </c>
      <c r="F469" s="11" t="s">
        <v>1921</v>
      </c>
      <c r="G469" s="12" t="s">
        <v>59</v>
      </c>
      <c r="H469" s="12" t="s">
        <v>59</v>
      </c>
      <c r="I469" s="12" t="s">
        <v>508</v>
      </c>
      <c r="J469" s="11" t="s">
        <v>1922</v>
      </c>
      <c r="K469" s="12" t="s">
        <v>62</v>
      </c>
      <c r="L469" s="12" t="s">
        <v>510</v>
      </c>
    </row>
    <row r="470" spans="1:12" ht="26.4" x14ac:dyDescent="0.3">
      <c r="A470" s="10" t="s">
        <v>1931</v>
      </c>
      <c r="B470" s="11" t="s">
        <v>13</v>
      </c>
      <c r="C470" s="11" t="s">
        <v>1932</v>
      </c>
      <c r="D470" s="11" t="s">
        <v>1933</v>
      </c>
      <c r="E470" s="11" t="s">
        <v>1934</v>
      </c>
      <c r="F470" s="11" t="s">
        <v>1935</v>
      </c>
      <c r="G470" s="12" t="s">
        <v>59</v>
      </c>
      <c r="H470" s="12" t="s">
        <v>59</v>
      </c>
      <c r="I470" s="12" t="s">
        <v>508</v>
      </c>
      <c r="J470" s="11" t="s">
        <v>1936</v>
      </c>
      <c r="K470" s="12" t="s">
        <v>62</v>
      </c>
      <c r="L470" s="12" t="s">
        <v>510</v>
      </c>
    </row>
    <row r="471" spans="1:12" ht="26.4" x14ac:dyDescent="0.3">
      <c r="A471" s="10" t="s">
        <v>1937</v>
      </c>
      <c r="B471" s="11" t="s">
        <v>13</v>
      </c>
      <c r="C471" s="11" t="s">
        <v>1938</v>
      </c>
      <c r="D471" s="11" t="s">
        <v>1933</v>
      </c>
      <c r="E471" s="11" t="s">
        <v>1939</v>
      </c>
      <c r="F471" s="11" t="s">
        <v>1935</v>
      </c>
      <c r="G471" s="12" t="s">
        <v>59</v>
      </c>
      <c r="H471" s="12" t="s">
        <v>59</v>
      </c>
      <c r="I471" s="12" t="s">
        <v>508</v>
      </c>
      <c r="J471" s="11" t="s">
        <v>1936</v>
      </c>
      <c r="K471" s="12" t="s">
        <v>62</v>
      </c>
      <c r="L471" s="12" t="s">
        <v>510</v>
      </c>
    </row>
    <row r="472" spans="1:12" ht="26.4" x14ac:dyDescent="0.3">
      <c r="A472" s="10" t="s">
        <v>1940</v>
      </c>
      <c r="B472" s="11" t="s">
        <v>13</v>
      </c>
      <c r="C472" s="11" t="s">
        <v>1941</v>
      </c>
      <c r="D472" s="11" t="s">
        <v>1933</v>
      </c>
      <c r="E472" s="11" t="s">
        <v>1942</v>
      </c>
      <c r="F472" s="11" t="s">
        <v>1943</v>
      </c>
      <c r="G472" s="12" t="s">
        <v>59</v>
      </c>
      <c r="H472" s="12" t="s">
        <v>59</v>
      </c>
      <c r="I472" s="12" t="s">
        <v>508</v>
      </c>
      <c r="J472" s="11" t="s">
        <v>1936</v>
      </c>
      <c r="K472" s="12" t="s">
        <v>62</v>
      </c>
      <c r="L472" s="12" t="s">
        <v>510</v>
      </c>
    </row>
    <row r="473" spans="1:12" ht="26.4" x14ac:dyDescent="0.3">
      <c r="A473" s="10" t="s">
        <v>1944</v>
      </c>
      <c r="B473" s="11" t="s">
        <v>13</v>
      </c>
      <c r="C473" s="11" t="s">
        <v>1945</v>
      </c>
      <c r="D473" s="11" t="s">
        <v>1933</v>
      </c>
      <c r="E473" s="11" t="s">
        <v>1946</v>
      </c>
      <c r="F473" s="11" t="s">
        <v>1947</v>
      </c>
      <c r="G473" s="12" t="s">
        <v>59</v>
      </c>
      <c r="H473" s="12" t="s">
        <v>59</v>
      </c>
      <c r="I473" s="12" t="s">
        <v>508</v>
      </c>
      <c r="J473" s="11" t="s">
        <v>1936</v>
      </c>
      <c r="K473" s="12" t="s">
        <v>62</v>
      </c>
      <c r="L473" s="12" t="s">
        <v>510</v>
      </c>
    </row>
    <row r="474" spans="1:12" ht="39.6" x14ac:dyDescent="0.3">
      <c r="A474" s="10" t="s">
        <v>1948</v>
      </c>
      <c r="B474" s="11" t="s">
        <v>14</v>
      </c>
      <c r="C474" s="11" t="s">
        <v>1949</v>
      </c>
      <c r="D474" s="11" t="s">
        <v>1950</v>
      </c>
      <c r="E474" s="11" t="s">
        <v>1951</v>
      </c>
      <c r="F474" s="11" t="s">
        <v>1952</v>
      </c>
      <c r="G474" s="12" t="s">
        <v>59</v>
      </c>
      <c r="H474" s="12" t="s">
        <v>59</v>
      </c>
      <c r="I474" s="12" t="s">
        <v>60</v>
      </c>
      <c r="J474" s="11" t="s">
        <v>1953</v>
      </c>
      <c r="K474" s="12" t="s">
        <v>62</v>
      </c>
      <c r="L474" s="12" t="s">
        <v>63</v>
      </c>
    </row>
    <row r="475" spans="1:12" ht="26.4" x14ac:dyDescent="0.3">
      <c r="A475" s="10" t="s">
        <v>1954</v>
      </c>
      <c r="B475" s="11" t="s">
        <v>14</v>
      </c>
      <c r="C475" s="11" t="s">
        <v>1955</v>
      </c>
      <c r="D475" s="11" t="s">
        <v>1956</v>
      </c>
      <c r="E475" s="11" t="s">
        <v>162</v>
      </c>
      <c r="F475" s="11" t="s">
        <v>1957</v>
      </c>
      <c r="G475" s="12" t="s">
        <v>59</v>
      </c>
      <c r="H475" s="12" t="s">
        <v>59</v>
      </c>
      <c r="I475" s="12" t="s">
        <v>60</v>
      </c>
      <c r="J475" s="11" t="s">
        <v>1958</v>
      </c>
      <c r="K475" s="12" t="s">
        <v>62</v>
      </c>
      <c r="L475" s="12" t="s">
        <v>63</v>
      </c>
    </row>
    <row r="476" spans="1:12" ht="26.4" x14ac:dyDescent="0.3">
      <c r="A476" s="10" t="s">
        <v>1959</v>
      </c>
      <c r="B476" s="11" t="s">
        <v>14</v>
      </c>
      <c r="C476" s="11" t="s">
        <v>1960</v>
      </c>
      <c r="D476" s="11" t="s">
        <v>1961</v>
      </c>
      <c r="E476" s="11" t="s">
        <v>1962</v>
      </c>
      <c r="F476" s="11" t="s">
        <v>1963</v>
      </c>
      <c r="G476" s="12" t="s">
        <v>59</v>
      </c>
      <c r="H476" s="12" t="s">
        <v>59</v>
      </c>
      <c r="I476" s="12" t="s">
        <v>60</v>
      </c>
      <c r="J476" s="11" t="s">
        <v>1964</v>
      </c>
      <c r="K476" s="12" t="s">
        <v>62</v>
      </c>
      <c r="L476" s="12" t="s">
        <v>63</v>
      </c>
    </row>
    <row r="477" spans="1:12" ht="26.4" x14ac:dyDescent="0.3">
      <c r="A477" s="10" t="s">
        <v>1965</v>
      </c>
      <c r="B477" s="11" t="s">
        <v>14</v>
      </c>
      <c r="C477" s="11" t="s">
        <v>1966</v>
      </c>
      <c r="D477" s="11" t="s">
        <v>1967</v>
      </c>
      <c r="E477" s="11" t="s">
        <v>1968</v>
      </c>
      <c r="F477" s="11" t="s">
        <v>1969</v>
      </c>
      <c r="G477" s="12" t="s">
        <v>59</v>
      </c>
      <c r="H477" s="12" t="s">
        <v>59</v>
      </c>
      <c r="I477" s="12" t="s">
        <v>60</v>
      </c>
      <c r="J477" s="11" t="s">
        <v>1970</v>
      </c>
      <c r="K477" s="12" t="s">
        <v>62</v>
      </c>
      <c r="L477" s="12" t="s">
        <v>63</v>
      </c>
    </row>
    <row r="478" spans="1:12" ht="39.6" x14ac:dyDescent="0.3">
      <c r="A478" s="10" t="s">
        <v>1971</v>
      </c>
      <c r="B478" s="11" t="s">
        <v>14</v>
      </c>
      <c r="C478" s="11" t="s">
        <v>1972</v>
      </c>
      <c r="D478" s="11" t="s">
        <v>1973</v>
      </c>
      <c r="E478" s="11" t="s">
        <v>1974</v>
      </c>
      <c r="F478" s="11" t="s">
        <v>1975</v>
      </c>
      <c r="G478" s="12" t="s">
        <v>59</v>
      </c>
      <c r="H478" s="12" t="s">
        <v>59</v>
      </c>
      <c r="I478" s="12" t="s">
        <v>60</v>
      </c>
      <c r="J478" s="11" t="s">
        <v>1976</v>
      </c>
      <c r="K478" s="12" t="s">
        <v>62</v>
      </c>
      <c r="L478" s="12" t="s">
        <v>63</v>
      </c>
    </row>
    <row r="479" spans="1:12" ht="26.4" x14ac:dyDescent="0.3">
      <c r="A479" s="10" t="s">
        <v>1977</v>
      </c>
      <c r="B479" s="11" t="s">
        <v>14</v>
      </c>
      <c r="C479" s="11" t="s">
        <v>1978</v>
      </c>
      <c r="D479" s="11" t="s">
        <v>1979</v>
      </c>
      <c r="E479" s="11" t="s">
        <v>1980</v>
      </c>
      <c r="F479" s="11" t="s">
        <v>1969</v>
      </c>
      <c r="G479" s="12" t="s">
        <v>59</v>
      </c>
      <c r="H479" s="12" t="s">
        <v>59</v>
      </c>
      <c r="I479" s="12" t="s">
        <v>60</v>
      </c>
      <c r="J479" s="11" t="s">
        <v>1981</v>
      </c>
      <c r="K479" s="12" t="s">
        <v>62</v>
      </c>
      <c r="L479" s="12" t="s">
        <v>63</v>
      </c>
    </row>
    <row r="480" spans="1:12" ht="26.4" x14ac:dyDescent="0.3">
      <c r="A480" s="10" t="s">
        <v>1982</v>
      </c>
      <c r="B480" s="11" t="s">
        <v>14</v>
      </c>
      <c r="C480" s="11" t="s">
        <v>1983</v>
      </c>
      <c r="D480" s="11" t="s">
        <v>1984</v>
      </c>
      <c r="E480" s="11" t="s">
        <v>1985</v>
      </c>
      <c r="F480" s="11" t="s">
        <v>1986</v>
      </c>
      <c r="G480" s="12" t="s">
        <v>59</v>
      </c>
      <c r="H480" s="12" t="s">
        <v>59</v>
      </c>
      <c r="I480" s="12" t="s">
        <v>508</v>
      </c>
      <c r="J480" s="11" t="s">
        <v>1987</v>
      </c>
      <c r="K480" s="12" t="s">
        <v>62</v>
      </c>
      <c r="L480" s="12" t="s">
        <v>510</v>
      </c>
    </row>
    <row r="481" spans="1:12" ht="26.4" x14ac:dyDescent="0.3">
      <c r="A481" s="10" t="s">
        <v>1988</v>
      </c>
      <c r="B481" s="11" t="s">
        <v>14</v>
      </c>
      <c r="C481" s="11" t="s">
        <v>1989</v>
      </c>
      <c r="D481" s="11" t="s">
        <v>1984</v>
      </c>
      <c r="E481" s="11" t="s">
        <v>1990</v>
      </c>
      <c r="F481" s="11" t="s">
        <v>1991</v>
      </c>
      <c r="G481" s="12" t="s">
        <v>59</v>
      </c>
      <c r="H481" s="12" t="s">
        <v>59</v>
      </c>
      <c r="I481" s="12" t="s">
        <v>508</v>
      </c>
      <c r="J481" s="11" t="s">
        <v>1987</v>
      </c>
      <c r="K481" s="12" t="s">
        <v>62</v>
      </c>
      <c r="L481" s="12" t="s">
        <v>510</v>
      </c>
    </row>
    <row r="482" spans="1:12" ht="26.4" x14ac:dyDescent="0.3">
      <c r="A482" s="10" t="s">
        <v>1992</v>
      </c>
      <c r="B482" s="11" t="s">
        <v>14</v>
      </c>
      <c r="C482" s="11" t="s">
        <v>1993</v>
      </c>
      <c r="D482" s="11" t="s">
        <v>1984</v>
      </c>
      <c r="E482" s="11" t="s">
        <v>1994</v>
      </c>
      <c r="F482" s="11" t="s">
        <v>1995</v>
      </c>
      <c r="G482" s="12" t="s">
        <v>59</v>
      </c>
      <c r="H482" s="12" t="s">
        <v>59</v>
      </c>
      <c r="I482" s="12" t="s">
        <v>508</v>
      </c>
      <c r="J482" s="11" t="s">
        <v>1987</v>
      </c>
      <c r="K482" s="12" t="s">
        <v>62</v>
      </c>
      <c r="L482" s="12" t="s">
        <v>510</v>
      </c>
    </row>
    <row r="483" spans="1:12" ht="26.4" x14ac:dyDescent="0.3">
      <c r="A483" s="10" t="s">
        <v>1996</v>
      </c>
      <c r="B483" s="11" t="s">
        <v>14</v>
      </c>
      <c r="C483" s="11" t="s">
        <v>1997</v>
      </c>
      <c r="D483" s="11" t="s">
        <v>1984</v>
      </c>
      <c r="E483" s="11" t="s">
        <v>1998</v>
      </c>
      <c r="F483" s="11" t="s">
        <v>1999</v>
      </c>
      <c r="G483" s="12" t="s">
        <v>59</v>
      </c>
      <c r="H483" s="12" t="s">
        <v>59</v>
      </c>
      <c r="I483" s="12" t="s">
        <v>508</v>
      </c>
      <c r="J483" s="11" t="s">
        <v>1987</v>
      </c>
      <c r="K483" s="12" t="s">
        <v>62</v>
      </c>
      <c r="L483" s="12" t="s">
        <v>510</v>
      </c>
    </row>
    <row r="484" spans="1:12" ht="26.4" x14ac:dyDescent="0.3">
      <c r="A484" s="10" t="s">
        <v>2000</v>
      </c>
      <c r="B484" s="11" t="s">
        <v>14</v>
      </c>
      <c r="C484" s="11" t="s">
        <v>2001</v>
      </c>
      <c r="D484" s="11" t="s">
        <v>1984</v>
      </c>
      <c r="E484" s="11" t="s">
        <v>2002</v>
      </c>
      <c r="F484" s="11" t="s">
        <v>2003</v>
      </c>
      <c r="G484" s="12" t="s">
        <v>59</v>
      </c>
      <c r="H484" s="12" t="s">
        <v>59</v>
      </c>
      <c r="I484" s="12" t="s">
        <v>508</v>
      </c>
      <c r="J484" s="11" t="s">
        <v>1987</v>
      </c>
      <c r="K484" s="12" t="s">
        <v>62</v>
      </c>
      <c r="L484" s="12" t="s">
        <v>510</v>
      </c>
    </row>
    <row r="485" spans="1:12" ht="26.4" x14ac:dyDescent="0.3">
      <c r="A485" s="10" t="s">
        <v>2004</v>
      </c>
      <c r="B485" s="11" t="s">
        <v>14</v>
      </c>
      <c r="C485" s="11" t="s">
        <v>2005</v>
      </c>
      <c r="D485" s="11" t="s">
        <v>2006</v>
      </c>
      <c r="E485" s="11" t="s">
        <v>2007</v>
      </c>
      <c r="F485" s="11" t="s">
        <v>2008</v>
      </c>
      <c r="G485" s="12" t="s">
        <v>59</v>
      </c>
      <c r="H485" s="12" t="s">
        <v>59</v>
      </c>
      <c r="I485" s="12" t="s">
        <v>508</v>
      </c>
      <c r="J485" s="11" t="s">
        <v>2009</v>
      </c>
      <c r="K485" s="12" t="s">
        <v>62</v>
      </c>
      <c r="L485" s="12" t="s">
        <v>510</v>
      </c>
    </row>
    <row r="486" spans="1:12" ht="26.4" x14ac:dyDescent="0.3">
      <c r="A486" s="10" t="s">
        <v>2010</v>
      </c>
      <c r="B486" s="11" t="s">
        <v>14</v>
      </c>
      <c r="C486" s="11" t="s">
        <v>2011</v>
      </c>
      <c r="D486" s="11" t="s">
        <v>2006</v>
      </c>
      <c r="E486" s="11" t="s">
        <v>2012</v>
      </c>
      <c r="F486" s="11" t="s">
        <v>2013</v>
      </c>
      <c r="G486" s="12" t="s">
        <v>59</v>
      </c>
      <c r="H486" s="12" t="s">
        <v>59</v>
      </c>
      <c r="I486" s="12" t="s">
        <v>508</v>
      </c>
      <c r="J486" s="11" t="s">
        <v>2009</v>
      </c>
      <c r="K486" s="12" t="s">
        <v>62</v>
      </c>
      <c r="L486" s="12" t="s">
        <v>510</v>
      </c>
    </row>
    <row r="487" spans="1:12" ht="26.4" x14ac:dyDescent="0.3">
      <c r="A487" s="10" t="s">
        <v>2014</v>
      </c>
      <c r="B487" s="11" t="s">
        <v>14</v>
      </c>
      <c r="C487" s="11" t="s">
        <v>2015</v>
      </c>
      <c r="D487" s="11" t="s">
        <v>2006</v>
      </c>
      <c r="E487" s="11" t="s">
        <v>2016</v>
      </c>
      <c r="F487" s="11" t="s">
        <v>2017</v>
      </c>
      <c r="G487" s="12" t="s">
        <v>59</v>
      </c>
      <c r="H487" s="12" t="s">
        <v>59</v>
      </c>
      <c r="I487" s="12" t="s">
        <v>508</v>
      </c>
      <c r="J487" s="11" t="s">
        <v>2009</v>
      </c>
      <c r="K487" s="12" t="s">
        <v>62</v>
      </c>
      <c r="L487" s="12" t="s">
        <v>510</v>
      </c>
    </row>
    <row r="488" spans="1:12" ht="26.4" x14ac:dyDescent="0.3">
      <c r="A488" s="10" t="s">
        <v>2018</v>
      </c>
      <c r="B488" s="11" t="s">
        <v>14</v>
      </c>
      <c r="C488" s="11" t="s">
        <v>2019</v>
      </c>
      <c r="D488" s="11" t="s">
        <v>2006</v>
      </c>
      <c r="E488" s="11" t="s">
        <v>2020</v>
      </c>
      <c r="F488" s="11" t="s">
        <v>2021</v>
      </c>
      <c r="G488" s="12" t="s">
        <v>59</v>
      </c>
      <c r="H488" s="12" t="s">
        <v>59</v>
      </c>
      <c r="I488" s="12" t="s">
        <v>508</v>
      </c>
      <c r="J488" s="11" t="s">
        <v>2009</v>
      </c>
      <c r="K488" s="12" t="s">
        <v>62</v>
      </c>
      <c r="L488" s="12" t="s">
        <v>510</v>
      </c>
    </row>
    <row r="489" spans="1:12" ht="26.4" x14ac:dyDescent="0.3">
      <c r="A489" s="10" t="s">
        <v>2022</v>
      </c>
      <c r="B489" s="11" t="s">
        <v>14</v>
      </c>
      <c r="C489" s="11" t="s">
        <v>2023</v>
      </c>
      <c r="D489" s="11" t="s">
        <v>2006</v>
      </c>
      <c r="E489" s="11" t="s">
        <v>2024</v>
      </c>
      <c r="F489" s="11" t="s">
        <v>2025</v>
      </c>
      <c r="G489" s="12" t="s">
        <v>59</v>
      </c>
      <c r="H489" s="12" t="s">
        <v>59</v>
      </c>
      <c r="I489" s="12" t="s">
        <v>508</v>
      </c>
      <c r="J489" s="11" t="s">
        <v>2009</v>
      </c>
      <c r="K489" s="12" t="s">
        <v>62</v>
      </c>
      <c r="L489" s="12" t="s">
        <v>510</v>
      </c>
    </row>
    <row r="490" spans="1:12" ht="26.4" x14ac:dyDescent="0.3">
      <c r="A490" s="10" t="s">
        <v>2026</v>
      </c>
      <c r="B490" s="11" t="s">
        <v>14</v>
      </c>
      <c r="C490" s="11" t="s">
        <v>2027</v>
      </c>
      <c r="D490" s="11" t="s">
        <v>2028</v>
      </c>
      <c r="E490" s="11" t="s">
        <v>2029</v>
      </c>
      <c r="F490" s="11" t="s">
        <v>2030</v>
      </c>
      <c r="G490" s="12" t="s">
        <v>59</v>
      </c>
      <c r="H490" s="12" t="s">
        <v>59</v>
      </c>
      <c r="I490" s="12" t="s">
        <v>508</v>
      </c>
      <c r="J490" s="11" t="s">
        <v>2031</v>
      </c>
      <c r="K490" s="12" t="s">
        <v>62</v>
      </c>
      <c r="L490" s="12" t="s">
        <v>510</v>
      </c>
    </row>
    <row r="491" spans="1:12" ht="26.4" x14ac:dyDescent="0.3">
      <c r="A491" s="10" t="s">
        <v>2032</v>
      </c>
      <c r="B491" s="11" t="s">
        <v>14</v>
      </c>
      <c r="C491" s="11" t="s">
        <v>2027</v>
      </c>
      <c r="D491" s="11" t="s">
        <v>2028</v>
      </c>
      <c r="E491" s="11" t="s">
        <v>2033</v>
      </c>
      <c r="F491" s="11" t="s">
        <v>2030</v>
      </c>
      <c r="G491" s="12" t="s">
        <v>59</v>
      </c>
      <c r="H491" s="12" t="s">
        <v>59</v>
      </c>
      <c r="I491" s="12" t="s">
        <v>508</v>
      </c>
      <c r="J491" s="11" t="s">
        <v>2031</v>
      </c>
      <c r="K491" s="12" t="s">
        <v>62</v>
      </c>
      <c r="L491" s="12" t="s">
        <v>510</v>
      </c>
    </row>
    <row r="492" spans="1:12" ht="26.4" x14ac:dyDescent="0.3">
      <c r="A492" s="10" t="s">
        <v>2034</v>
      </c>
      <c r="B492" s="11" t="s">
        <v>14</v>
      </c>
      <c r="C492" s="11" t="s">
        <v>2027</v>
      </c>
      <c r="D492" s="11" t="s">
        <v>2028</v>
      </c>
      <c r="E492" s="11" t="s">
        <v>2035</v>
      </c>
      <c r="F492" s="11" t="s">
        <v>2030</v>
      </c>
      <c r="G492" s="12" t="s">
        <v>59</v>
      </c>
      <c r="H492" s="12" t="s">
        <v>59</v>
      </c>
      <c r="I492" s="12" t="s">
        <v>508</v>
      </c>
      <c r="J492" s="11" t="s">
        <v>2031</v>
      </c>
      <c r="K492" s="12" t="s">
        <v>62</v>
      </c>
      <c r="L492" s="12" t="s">
        <v>510</v>
      </c>
    </row>
    <row r="493" spans="1:12" ht="26.4" x14ac:dyDescent="0.3">
      <c r="A493" s="10" t="s">
        <v>2036</v>
      </c>
      <c r="B493" s="11" t="s">
        <v>14</v>
      </c>
      <c r="C493" s="11" t="s">
        <v>2027</v>
      </c>
      <c r="D493" s="11" t="s">
        <v>2028</v>
      </c>
      <c r="E493" s="11" t="s">
        <v>2037</v>
      </c>
      <c r="F493" s="11" t="s">
        <v>2030</v>
      </c>
      <c r="G493" s="12" t="s">
        <v>59</v>
      </c>
      <c r="H493" s="12" t="s">
        <v>59</v>
      </c>
      <c r="I493" s="12" t="s">
        <v>508</v>
      </c>
      <c r="J493" s="11" t="s">
        <v>2031</v>
      </c>
      <c r="K493" s="12" t="s">
        <v>62</v>
      </c>
      <c r="L493" s="12" t="s">
        <v>510</v>
      </c>
    </row>
    <row r="494" spans="1:12" ht="26.4" x14ac:dyDescent="0.3">
      <c r="A494" s="10" t="s">
        <v>2038</v>
      </c>
      <c r="B494" s="11" t="s">
        <v>14</v>
      </c>
      <c r="C494" s="11" t="s">
        <v>2039</v>
      </c>
      <c r="D494" s="11" t="s">
        <v>2040</v>
      </c>
      <c r="E494" s="11" t="s">
        <v>2041</v>
      </c>
      <c r="F494" s="11" t="s">
        <v>2042</v>
      </c>
      <c r="G494" s="12" t="s">
        <v>59</v>
      </c>
      <c r="H494" s="12" t="s">
        <v>59</v>
      </c>
      <c r="I494" s="12" t="s">
        <v>508</v>
      </c>
      <c r="J494" s="11" t="s">
        <v>2043</v>
      </c>
      <c r="K494" s="12" t="s">
        <v>62</v>
      </c>
      <c r="L494" s="12" t="s">
        <v>510</v>
      </c>
    </row>
    <row r="495" spans="1:12" ht="26.4" x14ac:dyDescent="0.3">
      <c r="A495" s="10" t="s">
        <v>2044</v>
      </c>
      <c r="B495" s="11" t="s">
        <v>14</v>
      </c>
      <c r="C495" s="11" t="s">
        <v>2045</v>
      </c>
      <c r="D495" s="11" t="s">
        <v>2040</v>
      </c>
      <c r="E495" s="11" t="s">
        <v>2046</v>
      </c>
      <c r="F495" s="11" t="s">
        <v>2042</v>
      </c>
      <c r="G495" s="12" t="s">
        <v>59</v>
      </c>
      <c r="H495" s="12" t="s">
        <v>59</v>
      </c>
      <c r="I495" s="12" t="s">
        <v>508</v>
      </c>
      <c r="J495" s="11" t="s">
        <v>2043</v>
      </c>
      <c r="K495" s="12" t="s">
        <v>62</v>
      </c>
      <c r="L495" s="12" t="s">
        <v>510</v>
      </c>
    </row>
    <row r="496" spans="1:12" ht="26.4" x14ac:dyDescent="0.3">
      <c r="A496" s="10" t="s">
        <v>2047</v>
      </c>
      <c r="B496" s="11" t="s">
        <v>14</v>
      </c>
      <c r="C496" s="11" t="s">
        <v>2048</v>
      </c>
      <c r="D496" s="11" t="s">
        <v>2040</v>
      </c>
      <c r="E496" s="11" t="s">
        <v>2049</v>
      </c>
      <c r="F496" s="11" t="s">
        <v>2042</v>
      </c>
      <c r="G496" s="12" t="s">
        <v>59</v>
      </c>
      <c r="H496" s="12" t="s">
        <v>59</v>
      </c>
      <c r="I496" s="12" t="s">
        <v>508</v>
      </c>
      <c r="J496" s="11" t="s">
        <v>2043</v>
      </c>
      <c r="K496" s="12" t="s">
        <v>62</v>
      </c>
      <c r="L496" s="12" t="s">
        <v>510</v>
      </c>
    </row>
    <row r="497" spans="1:12" ht="26.4" x14ac:dyDescent="0.3">
      <c r="A497" s="10" t="s">
        <v>2050</v>
      </c>
      <c r="B497" s="11" t="s">
        <v>14</v>
      </c>
      <c r="C497" s="11" t="s">
        <v>2051</v>
      </c>
      <c r="D497" s="11" t="s">
        <v>2040</v>
      </c>
      <c r="E497" s="11" t="s">
        <v>2052</v>
      </c>
      <c r="F497" s="11" t="s">
        <v>2042</v>
      </c>
      <c r="G497" s="12" t="s">
        <v>59</v>
      </c>
      <c r="H497" s="12" t="s">
        <v>59</v>
      </c>
      <c r="I497" s="12" t="s">
        <v>508</v>
      </c>
      <c r="J497" s="11" t="s">
        <v>2043</v>
      </c>
      <c r="K497" s="12" t="s">
        <v>62</v>
      </c>
      <c r="L497" s="12" t="s">
        <v>510</v>
      </c>
    </row>
    <row r="498" spans="1:12" ht="26.4" x14ac:dyDescent="0.3">
      <c r="A498" s="10" t="s">
        <v>2053</v>
      </c>
      <c r="B498" s="11" t="s">
        <v>14</v>
      </c>
      <c r="C498" s="11" t="s">
        <v>2054</v>
      </c>
      <c r="D498" s="11" t="s">
        <v>2055</v>
      </c>
      <c r="E498" s="11" t="s">
        <v>2056</v>
      </c>
      <c r="F498" s="11" t="s">
        <v>2057</v>
      </c>
      <c r="G498" s="12" t="s">
        <v>59</v>
      </c>
      <c r="H498" s="12" t="s">
        <v>59</v>
      </c>
      <c r="I498" s="12" t="s">
        <v>508</v>
      </c>
      <c r="J498" s="11" t="s">
        <v>2058</v>
      </c>
      <c r="K498" s="12" t="s">
        <v>62</v>
      </c>
      <c r="L498" s="12" t="s">
        <v>510</v>
      </c>
    </row>
    <row r="499" spans="1:12" ht="26.4" x14ac:dyDescent="0.3">
      <c r="A499" s="10" t="s">
        <v>2059</v>
      </c>
      <c r="B499" s="11" t="s">
        <v>14</v>
      </c>
      <c r="C499" s="11" t="s">
        <v>2060</v>
      </c>
      <c r="D499" s="11" t="s">
        <v>2055</v>
      </c>
      <c r="E499" s="11" t="s">
        <v>2061</v>
      </c>
      <c r="F499" s="11" t="s">
        <v>2057</v>
      </c>
      <c r="G499" s="12" t="s">
        <v>59</v>
      </c>
      <c r="H499" s="12" t="s">
        <v>59</v>
      </c>
      <c r="I499" s="12" t="s">
        <v>508</v>
      </c>
      <c r="J499" s="11" t="s">
        <v>2058</v>
      </c>
      <c r="K499" s="12" t="s">
        <v>62</v>
      </c>
      <c r="L499" s="12" t="s">
        <v>510</v>
      </c>
    </row>
    <row r="500" spans="1:12" ht="26.4" x14ac:dyDescent="0.3">
      <c r="A500" s="10" t="s">
        <v>2062</v>
      </c>
      <c r="B500" s="11" t="s">
        <v>14</v>
      </c>
      <c r="C500" s="11" t="s">
        <v>2063</v>
      </c>
      <c r="D500" s="11" t="s">
        <v>2055</v>
      </c>
      <c r="E500" s="11" t="s">
        <v>2064</v>
      </c>
      <c r="F500" s="11" t="s">
        <v>2057</v>
      </c>
      <c r="G500" s="12" t="s">
        <v>59</v>
      </c>
      <c r="H500" s="12" t="s">
        <v>59</v>
      </c>
      <c r="I500" s="12" t="s">
        <v>508</v>
      </c>
      <c r="J500" s="11" t="s">
        <v>2058</v>
      </c>
      <c r="K500" s="12" t="s">
        <v>62</v>
      </c>
      <c r="L500" s="12" t="s">
        <v>510</v>
      </c>
    </row>
    <row r="501" spans="1:12" ht="26.4" x14ac:dyDescent="0.3">
      <c r="A501" s="10" t="s">
        <v>2065</v>
      </c>
      <c r="B501" s="11" t="s">
        <v>14</v>
      </c>
      <c r="C501" s="11" t="s">
        <v>2066</v>
      </c>
      <c r="D501" s="11" t="s">
        <v>2055</v>
      </c>
      <c r="E501" s="11" t="s">
        <v>2067</v>
      </c>
      <c r="F501" s="11" t="s">
        <v>2057</v>
      </c>
      <c r="G501" s="12" t="s">
        <v>59</v>
      </c>
      <c r="H501" s="12" t="s">
        <v>59</v>
      </c>
      <c r="I501" s="12" t="s">
        <v>508</v>
      </c>
      <c r="J501" s="11" t="s">
        <v>2058</v>
      </c>
      <c r="K501" s="12" t="s">
        <v>62</v>
      </c>
      <c r="L501" s="12" t="s">
        <v>510</v>
      </c>
    </row>
    <row r="502" spans="1:12" ht="26.4" x14ac:dyDescent="0.3">
      <c r="A502" s="10" t="s">
        <v>2068</v>
      </c>
      <c r="B502" s="11" t="s">
        <v>14</v>
      </c>
      <c r="C502" s="11" t="s">
        <v>2069</v>
      </c>
      <c r="D502" s="11" t="s">
        <v>2055</v>
      </c>
      <c r="E502" s="11" t="s">
        <v>2070</v>
      </c>
      <c r="F502" s="11" t="s">
        <v>2071</v>
      </c>
      <c r="G502" s="12" t="s">
        <v>59</v>
      </c>
      <c r="H502" s="12" t="s">
        <v>59</v>
      </c>
      <c r="I502" s="12" t="s">
        <v>508</v>
      </c>
      <c r="J502" s="11" t="s">
        <v>2058</v>
      </c>
      <c r="K502" s="12" t="s">
        <v>62</v>
      </c>
      <c r="L502" s="12" t="s">
        <v>510</v>
      </c>
    </row>
    <row r="503" spans="1:12" ht="26.4" x14ac:dyDescent="0.3">
      <c r="A503" s="10" t="s">
        <v>2072</v>
      </c>
      <c r="B503" s="11" t="s">
        <v>14</v>
      </c>
      <c r="C503" s="11" t="s">
        <v>2073</v>
      </c>
      <c r="D503" s="11" t="s">
        <v>2055</v>
      </c>
      <c r="E503" s="11" t="s">
        <v>2074</v>
      </c>
      <c r="F503" s="11" t="s">
        <v>2071</v>
      </c>
      <c r="G503" s="12" t="s">
        <v>59</v>
      </c>
      <c r="H503" s="12" t="s">
        <v>59</v>
      </c>
      <c r="I503" s="12" t="s">
        <v>508</v>
      </c>
      <c r="J503" s="11" t="s">
        <v>2058</v>
      </c>
      <c r="K503" s="12" t="s">
        <v>62</v>
      </c>
      <c r="L503" s="12" t="s">
        <v>510</v>
      </c>
    </row>
    <row r="504" spans="1:12" ht="26.4" x14ac:dyDescent="0.3">
      <c r="A504" s="10" t="s">
        <v>2075</v>
      </c>
      <c r="B504" s="11" t="s">
        <v>14</v>
      </c>
      <c r="C504" s="11" t="s">
        <v>2076</v>
      </c>
      <c r="D504" s="11" t="s">
        <v>2055</v>
      </c>
      <c r="E504" s="11" t="s">
        <v>2077</v>
      </c>
      <c r="F504" s="11" t="s">
        <v>2078</v>
      </c>
      <c r="G504" s="12" t="s">
        <v>59</v>
      </c>
      <c r="H504" s="12" t="s">
        <v>59</v>
      </c>
      <c r="I504" s="12" t="s">
        <v>508</v>
      </c>
      <c r="J504" s="11" t="s">
        <v>2058</v>
      </c>
      <c r="K504" s="12" t="s">
        <v>62</v>
      </c>
      <c r="L504" s="12" t="s">
        <v>510</v>
      </c>
    </row>
    <row r="505" spans="1:12" ht="26.4" x14ac:dyDescent="0.3">
      <c r="A505" s="10" t="s">
        <v>2079</v>
      </c>
      <c r="B505" s="11" t="s">
        <v>14</v>
      </c>
      <c r="C505" s="11" t="s">
        <v>2080</v>
      </c>
      <c r="D505" s="11" t="s">
        <v>2055</v>
      </c>
      <c r="E505" s="11" t="s">
        <v>2081</v>
      </c>
      <c r="F505" s="11" t="s">
        <v>2082</v>
      </c>
      <c r="G505" s="12" t="s">
        <v>59</v>
      </c>
      <c r="H505" s="12" t="s">
        <v>59</v>
      </c>
      <c r="I505" s="12" t="s">
        <v>508</v>
      </c>
      <c r="J505" s="11" t="s">
        <v>2058</v>
      </c>
      <c r="K505" s="12" t="s">
        <v>62</v>
      </c>
      <c r="L505" s="12" t="s">
        <v>510</v>
      </c>
    </row>
    <row r="506" spans="1:12" ht="26.4" x14ac:dyDescent="0.3">
      <c r="A506" s="10" t="s">
        <v>2083</v>
      </c>
      <c r="B506" s="11" t="s">
        <v>14</v>
      </c>
      <c r="C506" s="11" t="s">
        <v>2084</v>
      </c>
      <c r="D506" s="11" t="s">
        <v>2055</v>
      </c>
      <c r="E506" s="11" t="s">
        <v>2085</v>
      </c>
      <c r="F506" s="11" t="s">
        <v>2082</v>
      </c>
      <c r="G506" s="12" t="s">
        <v>59</v>
      </c>
      <c r="H506" s="12" t="s">
        <v>59</v>
      </c>
      <c r="I506" s="12" t="s">
        <v>508</v>
      </c>
      <c r="J506" s="11" t="s">
        <v>2058</v>
      </c>
      <c r="K506" s="12" t="s">
        <v>62</v>
      </c>
      <c r="L506" s="12" t="s">
        <v>510</v>
      </c>
    </row>
    <row r="507" spans="1:12" ht="26.4" x14ac:dyDescent="0.3">
      <c r="A507" s="10" t="s">
        <v>2086</v>
      </c>
      <c r="B507" s="11" t="s">
        <v>14</v>
      </c>
      <c r="C507" s="11" t="s">
        <v>2087</v>
      </c>
      <c r="D507" s="11" t="s">
        <v>2055</v>
      </c>
      <c r="E507" s="11" t="s">
        <v>2088</v>
      </c>
      <c r="F507" s="11" t="s">
        <v>2089</v>
      </c>
      <c r="G507" s="12" t="s">
        <v>59</v>
      </c>
      <c r="H507" s="12" t="s">
        <v>59</v>
      </c>
      <c r="I507" s="12" t="s">
        <v>508</v>
      </c>
      <c r="J507" s="11" t="s">
        <v>2058</v>
      </c>
      <c r="K507" s="12" t="s">
        <v>62</v>
      </c>
      <c r="L507" s="12" t="s">
        <v>510</v>
      </c>
    </row>
    <row r="508" spans="1:12" ht="26.4" x14ac:dyDescent="0.3">
      <c r="A508" s="10" t="s">
        <v>2090</v>
      </c>
      <c r="B508" s="11" t="s">
        <v>14</v>
      </c>
      <c r="C508" s="11" t="s">
        <v>2091</v>
      </c>
      <c r="D508" s="11" t="s">
        <v>2092</v>
      </c>
      <c r="E508" s="11" t="s">
        <v>2093</v>
      </c>
      <c r="F508" s="11" t="s">
        <v>2094</v>
      </c>
      <c r="G508" s="12" t="s">
        <v>59</v>
      </c>
      <c r="H508" s="12" t="s">
        <v>59</v>
      </c>
      <c r="I508" s="12" t="s">
        <v>508</v>
      </c>
      <c r="J508" s="11" t="s">
        <v>2095</v>
      </c>
      <c r="K508" s="12" t="s">
        <v>62</v>
      </c>
      <c r="L508" s="12" t="s">
        <v>510</v>
      </c>
    </row>
    <row r="509" spans="1:12" ht="26.4" x14ac:dyDescent="0.3">
      <c r="A509" s="10" t="s">
        <v>2096</v>
      </c>
      <c r="B509" s="11" t="s">
        <v>14</v>
      </c>
      <c r="C509" s="11" t="s">
        <v>2097</v>
      </c>
      <c r="D509" s="11" t="s">
        <v>2092</v>
      </c>
      <c r="E509" s="11" t="s">
        <v>2098</v>
      </c>
      <c r="F509" s="11" t="s">
        <v>2099</v>
      </c>
      <c r="G509" s="12" t="s">
        <v>59</v>
      </c>
      <c r="H509" s="12" t="s">
        <v>59</v>
      </c>
      <c r="I509" s="12" t="s">
        <v>508</v>
      </c>
      <c r="J509" s="11" t="s">
        <v>2095</v>
      </c>
      <c r="K509" s="12" t="s">
        <v>62</v>
      </c>
      <c r="L509" s="12" t="s">
        <v>510</v>
      </c>
    </row>
    <row r="510" spans="1:12" ht="26.4" x14ac:dyDescent="0.3">
      <c r="A510" s="10" t="s">
        <v>2100</v>
      </c>
      <c r="B510" s="11" t="s">
        <v>14</v>
      </c>
      <c r="C510" s="11" t="s">
        <v>2101</v>
      </c>
      <c r="D510" s="11" t="s">
        <v>2092</v>
      </c>
      <c r="E510" s="11" t="s">
        <v>2102</v>
      </c>
      <c r="F510" s="11" t="s">
        <v>2099</v>
      </c>
      <c r="G510" s="12" t="s">
        <v>59</v>
      </c>
      <c r="H510" s="12" t="s">
        <v>59</v>
      </c>
      <c r="I510" s="12" t="s">
        <v>508</v>
      </c>
      <c r="J510" s="11" t="s">
        <v>2095</v>
      </c>
      <c r="K510" s="12" t="s">
        <v>62</v>
      </c>
      <c r="L510" s="12" t="s">
        <v>510</v>
      </c>
    </row>
    <row r="511" spans="1:12" ht="26.4" x14ac:dyDescent="0.3">
      <c r="A511" s="10" t="s">
        <v>2103</v>
      </c>
      <c r="B511" s="11" t="s">
        <v>14</v>
      </c>
      <c r="C511" s="11" t="s">
        <v>2104</v>
      </c>
      <c r="D511" s="11" t="s">
        <v>2092</v>
      </c>
      <c r="E511" s="11" t="s">
        <v>2105</v>
      </c>
      <c r="F511" s="11" t="s">
        <v>2106</v>
      </c>
      <c r="G511" s="12" t="s">
        <v>59</v>
      </c>
      <c r="H511" s="12" t="s">
        <v>59</v>
      </c>
      <c r="I511" s="12" t="s">
        <v>508</v>
      </c>
      <c r="J511" s="11" t="s">
        <v>2095</v>
      </c>
      <c r="K511" s="12" t="s">
        <v>62</v>
      </c>
      <c r="L511" s="12" t="s">
        <v>510</v>
      </c>
    </row>
    <row r="512" spans="1:12" ht="26.4" x14ac:dyDescent="0.3">
      <c r="A512" s="10" t="s">
        <v>2107</v>
      </c>
      <c r="B512" s="11" t="s">
        <v>14</v>
      </c>
      <c r="C512" s="11" t="s">
        <v>2108</v>
      </c>
      <c r="D512" s="11" t="s">
        <v>2092</v>
      </c>
      <c r="E512" s="11" t="s">
        <v>2109</v>
      </c>
      <c r="F512" s="11" t="s">
        <v>2110</v>
      </c>
      <c r="G512" s="12" t="s">
        <v>59</v>
      </c>
      <c r="H512" s="12" t="s">
        <v>59</v>
      </c>
      <c r="I512" s="12" t="s">
        <v>508</v>
      </c>
      <c r="J512" s="11" t="s">
        <v>2095</v>
      </c>
      <c r="K512" s="12" t="s">
        <v>62</v>
      </c>
      <c r="L512" s="12" t="s">
        <v>510</v>
      </c>
    </row>
    <row r="513" spans="1:12" ht="26.4" x14ac:dyDescent="0.3">
      <c r="A513" s="10" t="s">
        <v>2111</v>
      </c>
      <c r="B513" s="11" t="s">
        <v>14</v>
      </c>
      <c r="C513" s="11" t="s">
        <v>2112</v>
      </c>
      <c r="D513" s="11" t="s">
        <v>2092</v>
      </c>
      <c r="E513" s="11" t="s">
        <v>2113</v>
      </c>
      <c r="F513" s="11" t="s">
        <v>2110</v>
      </c>
      <c r="G513" s="12" t="s">
        <v>59</v>
      </c>
      <c r="H513" s="12" t="s">
        <v>59</v>
      </c>
      <c r="I513" s="12" t="s">
        <v>508</v>
      </c>
      <c r="J513" s="11" t="s">
        <v>2095</v>
      </c>
      <c r="K513" s="12" t="s">
        <v>62</v>
      </c>
      <c r="L513" s="12" t="s">
        <v>510</v>
      </c>
    </row>
    <row r="514" spans="1:12" ht="39.6" x14ac:dyDescent="0.3">
      <c r="A514" s="10" t="s">
        <v>2114</v>
      </c>
      <c r="B514" s="11" t="s">
        <v>14</v>
      </c>
      <c r="C514" s="11" t="s">
        <v>2115</v>
      </c>
      <c r="D514" s="11" t="s">
        <v>2116</v>
      </c>
      <c r="E514" s="11" t="s">
        <v>2117</v>
      </c>
      <c r="F514" s="11" t="s">
        <v>2118</v>
      </c>
      <c r="G514" s="12" t="s">
        <v>59</v>
      </c>
      <c r="H514" s="12" t="s">
        <v>59</v>
      </c>
      <c r="I514" s="12" t="s">
        <v>508</v>
      </c>
      <c r="J514" s="11" t="s">
        <v>2119</v>
      </c>
      <c r="K514" s="12" t="s">
        <v>62</v>
      </c>
      <c r="L514" s="12" t="s">
        <v>510</v>
      </c>
    </row>
    <row r="515" spans="1:12" ht="39.6" x14ac:dyDescent="0.3">
      <c r="A515" s="10" t="s">
        <v>2120</v>
      </c>
      <c r="B515" s="11" t="s">
        <v>14</v>
      </c>
      <c r="C515" s="11" t="s">
        <v>2115</v>
      </c>
      <c r="D515" s="11" t="s">
        <v>2116</v>
      </c>
      <c r="E515" s="11" t="s">
        <v>2121</v>
      </c>
      <c r="F515" s="11" t="s">
        <v>2118</v>
      </c>
      <c r="G515" s="12" t="s">
        <v>59</v>
      </c>
      <c r="H515" s="12" t="s">
        <v>59</v>
      </c>
      <c r="I515" s="12" t="s">
        <v>508</v>
      </c>
      <c r="J515" s="11" t="s">
        <v>2119</v>
      </c>
      <c r="K515" s="12" t="s">
        <v>62</v>
      </c>
      <c r="L515" s="12" t="s">
        <v>510</v>
      </c>
    </row>
    <row r="516" spans="1:12" ht="39.6" x14ac:dyDescent="0.3">
      <c r="A516" s="10" t="s">
        <v>2122</v>
      </c>
      <c r="B516" s="11" t="s">
        <v>14</v>
      </c>
      <c r="C516" s="11" t="s">
        <v>2115</v>
      </c>
      <c r="D516" s="11" t="s">
        <v>2116</v>
      </c>
      <c r="E516" s="11" t="s">
        <v>2123</v>
      </c>
      <c r="F516" s="11" t="s">
        <v>2118</v>
      </c>
      <c r="G516" s="12" t="s">
        <v>59</v>
      </c>
      <c r="H516" s="12" t="s">
        <v>59</v>
      </c>
      <c r="I516" s="12" t="s">
        <v>508</v>
      </c>
      <c r="J516" s="11" t="s">
        <v>2119</v>
      </c>
      <c r="K516" s="12" t="s">
        <v>62</v>
      </c>
      <c r="L516" s="12" t="s">
        <v>510</v>
      </c>
    </row>
    <row r="517" spans="1:12" ht="39.6" x14ac:dyDescent="0.3">
      <c r="A517" s="10" t="s">
        <v>2124</v>
      </c>
      <c r="B517" s="11" t="s">
        <v>14</v>
      </c>
      <c r="C517" s="11" t="s">
        <v>2115</v>
      </c>
      <c r="D517" s="11" t="s">
        <v>2116</v>
      </c>
      <c r="E517" s="11" t="s">
        <v>2125</v>
      </c>
      <c r="F517" s="11" t="s">
        <v>2118</v>
      </c>
      <c r="G517" s="12" t="s">
        <v>59</v>
      </c>
      <c r="H517" s="12" t="s">
        <v>59</v>
      </c>
      <c r="I517" s="12" t="s">
        <v>508</v>
      </c>
      <c r="J517" s="11" t="s">
        <v>2119</v>
      </c>
      <c r="K517" s="12" t="s">
        <v>62</v>
      </c>
      <c r="L517" s="12" t="s">
        <v>510</v>
      </c>
    </row>
    <row r="518" spans="1:12" ht="39.6" x14ac:dyDescent="0.3">
      <c r="A518" s="10" t="s">
        <v>2126</v>
      </c>
      <c r="B518" s="11" t="s">
        <v>14</v>
      </c>
      <c r="C518" s="11" t="s">
        <v>2115</v>
      </c>
      <c r="D518" s="11" t="s">
        <v>2116</v>
      </c>
      <c r="E518" s="11" t="s">
        <v>2127</v>
      </c>
      <c r="F518" s="11" t="s">
        <v>2118</v>
      </c>
      <c r="G518" s="12" t="s">
        <v>59</v>
      </c>
      <c r="H518" s="12" t="s">
        <v>59</v>
      </c>
      <c r="I518" s="12" t="s">
        <v>508</v>
      </c>
      <c r="J518" s="11" t="s">
        <v>2119</v>
      </c>
      <c r="K518" s="12" t="s">
        <v>62</v>
      </c>
      <c r="L518" s="12" t="s">
        <v>510</v>
      </c>
    </row>
    <row r="519" spans="1:12" ht="26.4" x14ac:dyDescent="0.3">
      <c r="A519" s="10" t="s">
        <v>2128</v>
      </c>
      <c r="B519" s="11" t="s">
        <v>14</v>
      </c>
      <c r="C519" s="11" t="s">
        <v>2129</v>
      </c>
      <c r="D519" s="11" t="s">
        <v>2130</v>
      </c>
      <c r="E519" s="11" t="s">
        <v>2131</v>
      </c>
      <c r="F519" s="11" t="s">
        <v>1744</v>
      </c>
      <c r="G519" s="12" t="s">
        <v>59</v>
      </c>
      <c r="H519" s="12" t="s">
        <v>59</v>
      </c>
      <c r="I519" s="12" t="s">
        <v>508</v>
      </c>
      <c r="J519" s="11" t="s">
        <v>2132</v>
      </c>
      <c r="K519" s="12" t="s">
        <v>62</v>
      </c>
      <c r="L519" s="12" t="s">
        <v>510</v>
      </c>
    </row>
    <row r="520" spans="1:12" ht="26.4" x14ac:dyDescent="0.3">
      <c r="A520" s="10" t="s">
        <v>2133</v>
      </c>
      <c r="B520" s="11" t="s">
        <v>14</v>
      </c>
      <c r="C520" s="11" t="s">
        <v>2134</v>
      </c>
      <c r="D520" s="11" t="s">
        <v>2130</v>
      </c>
      <c r="E520" s="11" t="s">
        <v>2135</v>
      </c>
      <c r="F520" s="11" t="s">
        <v>1744</v>
      </c>
      <c r="G520" s="12" t="s">
        <v>59</v>
      </c>
      <c r="H520" s="12" t="s">
        <v>59</v>
      </c>
      <c r="I520" s="12" t="s">
        <v>508</v>
      </c>
      <c r="J520" s="11" t="s">
        <v>2132</v>
      </c>
      <c r="K520" s="12" t="s">
        <v>62</v>
      </c>
      <c r="L520" s="12" t="s">
        <v>510</v>
      </c>
    </row>
    <row r="521" spans="1:12" ht="26.4" x14ac:dyDescent="0.3">
      <c r="A521" s="10" t="s">
        <v>2136</v>
      </c>
      <c r="B521" s="11" t="s">
        <v>14</v>
      </c>
      <c r="C521" s="11" t="s">
        <v>2137</v>
      </c>
      <c r="D521" s="11" t="s">
        <v>2130</v>
      </c>
      <c r="E521" s="11" t="s">
        <v>2138</v>
      </c>
      <c r="F521" s="11" t="s">
        <v>1744</v>
      </c>
      <c r="G521" s="12" t="s">
        <v>59</v>
      </c>
      <c r="H521" s="12" t="s">
        <v>59</v>
      </c>
      <c r="I521" s="12" t="s">
        <v>508</v>
      </c>
      <c r="J521" s="11" t="s">
        <v>2132</v>
      </c>
      <c r="K521" s="12" t="s">
        <v>62</v>
      </c>
      <c r="L521" s="12" t="s">
        <v>510</v>
      </c>
    </row>
    <row r="522" spans="1:12" ht="26.4" x14ac:dyDescent="0.3">
      <c r="A522" s="10" t="s">
        <v>2139</v>
      </c>
      <c r="B522" s="11" t="s">
        <v>14</v>
      </c>
      <c r="C522" s="11" t="s">
        <v>2140</v>
      </c>
      <c r="D522" s="11" t="s">
        <v>2130</v>
      </c>
      <c r="E522" s="11" t="s">
        <v>2141</v>
      </c>
      <c r="F522" s="11" t="s">
        <v>1758</v>
      </c>
      <c r="G522" s="12" t="s">
        <v>59</v>
      </c>
      <c r="H522" s="12" t="s">
        <v>59</v>
      </c>
      <c r="I522" s="12" t="s">
        <v>508</v>
      </c>
      <c r="J522" s="11" t="s">
        <v>2132</v>
      </c>
      <c r="K522" s="12" t="s">
        <v>62</v>
      </c>
      <c r="L522" s="12" t="s">
        <v>510</v>
      </c>
    </row>
    <row r="523" spans="1:12" ht="26.4" x14ac:dyDescent="0.3">
      <c r="A523" s="10" t="s">
        <v>2142</v>
      </c>
      <c r="B523" s="11" t="s">
        <v>14</v>
      </c>
      <c r="C523" s="11" t="s">
        <v>2143</v>
      </c>
      <c r="D523" s="11" t="s">
        <v>2130</v>
      </c>
      <c r="E523" s="11" t="s">
        <v>2144</v>
      </c>
      <c r="F523" s="11" t="s">
        <v>1758</v>
      </c>
      <c r="G523" s="12" t="s">
        <v>59</v>
      </c>
      <c r="H523" s="12" t="s">
        <v>59</v>
      </c>
      <c r="I523" s="12" t="s">
        <v>508</v>
      </c>
      <c r="J523" s="11" t="s">
        <v>2132</v>
      </c>
      <c r="K523" s="12" t="s">
        <v>62</v>
      </c>
      <c r="L523" s="12" t="s">
        <v>510</v>
      </c>
    </row>
    <row r="524" spans="1:12" ht="26.4" x14ac:dyDescent="0.3">
      <c r="A524" s="10" t="s">
        <v>2145</v>
      </c>
      <c r="B524" s="11" t="s">
        <v>14</v>
      </c>
      <c r="C524" s="11" t="s">
        <v>2146</v>
      </c>
      <c r="D524" s="11" t="s">
        <v>2147</v>
      </c>
      <c r="E524" s="11" t="s">
        <v>2148</v>
      </c>
      <c r="F524" s="11" t="s">
        <v>2149</v>
      </c>
      <c r="G524" s="12" t="s">
        <v>59</v>
      </c>
      <c r="H524" s="12" t="s">
        <v>59</v>
      </c>
      <c r="I524" s="12" t="s">
        <v>508</v>
      </c>
      <c r="J524" s="11" t="s">
        <v>2150</v>
      </c>
      <c r="K524" s="12" t="s">
        <v>62</v>
      </c>
      <c r="L524" s="12" t="s">
        <v>510</v>
      </c>
    </row>
    <row r="525" spans="1:12" ht="26.4" x14ac:dyDescent="0.3">
      <c r="A525" s="10" t="s">
        <v>2151</v>
      </c>
      <c r="B525" s="11" t="s">
        <v>14</v>
      </c>
      <c r="C525" s="11" t="s">
        <v>2152</v>
      </c>
      <c r="D525" s="11" t="s">
        <v>2147</v>
      </c>
      <c r="E525" s="11" t="s">
        <v>2153</v>
      </c>
      <c r="F525" s="11" t="s">
        <v>2154</v>
      </c>
      <c r="G525" s="12" t="s">
        <v>59</v>
      </c>
      <c r="H525" s="12" t="s">
        <v>59</v>
      </c>
      <c r="I525" s="12" t="s">
        <v>508</v>
      </c>
      <c r="J525" s="11" t="s">
        <v>2150</v>
      </c>
      <c r="K525" s="12" t="s">
        <v>62</v>
      </c>
      <c r="L525" s="12" t="s">
        <v>510</v>
      </c>
    </row>
    <row r="526" spans="1:12" ht="26.4" x14ac:dyDescent="0.3">
      <c r="A526" s="10" t="s">
        <v>2155</v>
      </c>
      <c r="B526" s="11" t="s">
        <v>14</v>
      </c>
      <c r="C526" s="11" t="s">
        <v>2156</v>
      </c>
      <c r="D526" s="11" t="s">
        <v>2147</v>
      </c>
      <c r="E526" s="11" t="s">
        <v>2157</v>
      </c>
      <c r="F526" s="11" t="s">
        <v>2158</v>
      </c>
      <c r="G526" s="12" t="s">
        <v>59</v>
      </c>
      <c r="H526" s="12" t="s">
        <v>59</v>
      </c>
      <c r="I526" s="12" t="s">
        <v>508</v>
      </c>
      <c r="J526" s="11" t="s">
        <v>2150</v>
      </c>
      <c r="K526" s="12" t="s">
        <v>62</v>
      </c>
      <c r="L526" s="12" t="s">
        <v>510</v>
      </c>
    </row>
    <row r="527" spans="1:12" ht="26.4" x14ac:dyDescent="0.3">
      <c r="A527" s="10" t="s">
        <v>2159</v>
      </c>
      <c r="B527" s="11" t="s">
        <v>14</v>
      </c>
      <c r="C527" s="11" t="s">
        <v>2160</v>
      </c>
      <c r="D527" s="11" t="s">
        <v>2147</v>
      </c>
      <c r="E527" s="11" t="s">
        <v>2161</v>
      </c>
      <c r="F527" s="11" t="s">
        <v>2149</v>
      </c>
      <c r="G527" s="12" t="s">
        <v>59</v>
      </c>
      <c r="H527" s="12" t="s">
        <v>59</v>
      </c>
      <c r="I527" s="12" t="s">
        <v>508</v>
      </c>
      <c r="J527" s="11" t="s">
        <v>2150</v>
      </c>
      <c r="K527" s="12" t="s">
        <v>62</v>
      </c>
      <c r="L527" s="12" t="s">
        <v>510</v>
      </c>
    </row>
    <row r="528" spans="1:12" ht="26.4" x14ac:dyDescent="0.3">
      <c r="A528" s="10" t="s">
        <v>2162</v>
      </c>
      <c r="B528" s="11" t="s">
        <v>14</v>
      </c>
      <c r="C528" s="11" t="s">
        <v>2163</v>
      </c>
      <c r="D528" s="11" t="s">
        <v>2147</v>
      </c>
      <c r="E528" s="11" t="s">
        <v>2164</v>
      </c>
      <c r="F528" s="11" t="s">
        <v>2149</v>
      </c>
      <c r="G528" s="12" t="s">
        <v>59</v>
      </c>
      <c r="H528" s="12" t="s">
        <v>59</v>
      </c>
      <c r="I528" s="12" t="s">
        <v>508</v>
      </c>
      <c r="J528" s="11" t="s">
        <v>2150</v>
      </c>
      <c r="K528" s="12" t="s">
        <v>62</v>
      </c>
      <c r="L528" s="12" t="s">
        <v>510</v>
      </c>
    </row>
    <row r="529" spans="1:12" ht="26.4" x14ac:dyDescent="0.3">
      <c r="A529" s="10" t="s">
        <v>2165</v>
      </c>
      <c r="B529" s="11" t="s">
        <v>14</v>
      </c>
      <c r="C529" s="11" t="s">
        <v>2166</v>
      </c>
      <c r="D529" s="11" t="s">
        <v>2147</v>
      </c>
      <c r="E529" s="11" t="s">
        <v>2167</v>
      </c>
      <c r="F529" s="11" t="s">
        <v>2158</v>
      </c>
      <c r="G529" s="12" t="s">
        <v>59</v>
      </c>
      <c r="H529" s="12" t="s">
        <v>59</v>
      </c>
      <c r="I529" s="12" t="s">
        <v>508</v>
      </c>
      <c r="J529" s="11" t="s">
        <v>2150</v>
      </c>
      <c r="K529" s="12" t="s">
        <v>62</v>
      </c>
      <c r="L529" s="12" t="s">
        <v>510</v>
      </c>
    </row>
    <row r="530" spans="1:12" ht="26.4" x14ac:dyDescent="0.3">
      <c r="A530" s="10" t="s">
        <v>2168</v>
      </c>
      <c r="B530" s="11" t="s">
        <v>14</v>
      </c>
      <c r="C530" s="11" t="s">
        <v>2169</v>
      </c>
      <c r="D530" s="11" t="s">
        <v>2147</v>
      </c>
      <c r="E530" s="11" t="s">
        <v>2170</v>
      </c>
      <c r="F530" s="11" t="s">
        <v>2158</v>
      </c>
      <c r="G530" s="12" t="s">
        <v>59</v>
      </c>
      <c r="H530" s="12" t="s">
        <v>59</v>
      </c>
      <c r="I530" s="12" t="s">
        <v>508</v>
      </c>
      <c r="J530" s="11" t="s">
        <v>2150</v>
      </c>
      <c r="K530" s="12" t="s">
        <v>62</v>
      </c>
      <c r="L530" s="12" t="s">
        <v>510</v>
      </c>
    </row>
    <row r="531" spans="1:12" ht="26.4" x14ac:dyDescent="0.3">
      <c r="A531" s="10" t="s">
        <v>2171</v>
      </c>
      <c r="B531" s="11" t="s">
        <v>14</v>
      </c>
      <c r="C531" s="11" t="s">
        <v>2172</v>
      </c>
      <c r="D531" s="11" t="s">
        <v>2173</v>
      </c>
      <c r="E531" s="11" t="s">
        <v>2174</v>
      </c>
      <c r="F531" s="11" t="s">
        <v>2175</v>
      </c>
      <c r="G531" s="12" t="s">
        <v>59</v>
      </c>
      <c r="H531" s="12" t="s">
        <v>59</v>
      </c>
      <c r="I531" s="12" t="s">
        <v>508</v>
      </c>
      <c r="J531" s="11" t="s">
        <v>2176</v>
      </c>
      <c r="K531" s="12" t="s">
        <v>62</v>
      </c>
      <c r="L531" s="12" t="s">
        <v>510</v>
      </c>
    </row>
    <row r="532" spans="1:12" ht="26.4" x14ac:dyDescent="0.3">
      <c r="A532" s="10" t="s">
        <v>2177</v>
      </c>
      <c r="B532" s="11" t="s">
        <v>14</v>
      </c>
      <c r="C532" s="11" t="s">
        <v>2178</v>
      </c>
      <c r="D532" s="11" t="s">
        <v>2173</v>
      </c>
      <c r="E532" s="11" t="s">
        <v>2179</v>
      </c>
      <c r="F532" s="11" t="s">
        <v>2180</v>
      </c>
      <c r="G532" s="12" t="s">
        <v>59</v>
      </c>
      <c r="H532" s="12" t="s">
        <v>59</v>
      </c>
      <c r="I532" s="12" t="s">
        <v>508</v>
      </c>
      <c r="J532" s="11" t="s">
        <v>2176</v>
      </c>
      <c r="K532" s="12" t="s">
        <v>62</v>
      </c>
      <c r="L532" s="12" t="s">
        <v>510</v>
      </c>
    </row>
    <row r="533" spans="1:12" ht="26.4" x14ac:dyDescent="0.3">
      <c r="A533" s="10" t="s">
        <v>2181</v>
      </c>
      <c r="B533" s="11" t="s">
        <v>14</v>
      </c>
      <c r="C533" s="11" t="s">
        <v>2182</v>
      </c>
      <c r="D533" s="11" t="s">
        <v>2173</v>
      </c>
      <c r="E533" s="11" t="s">
        <v>2183</v>
      </c>
      <c r="F533" s="11" t="s">
        <v>2184</v>
      </c>
      <c r="G533" s="12" t="s">
        <v>59</v>
      </c>
      <c r="H533" s="12" t="s">
        <v>59</v>
      </c>
      <c r="I533" s="12" t="s">
        <v>508</v>
      </c>
      <c r="J533" s="11" t="s">
        <v>2176</v>
      </c>
      <c r="K533" s="12" t="s">
        <v>62</v>
      </c>
      <c r="L533" s="12" t="s">
        <v>510</v>
      </c>
    </row>
    <row r="534" spans="1:12" ht="26.4" x14ac:dyDescent="0.3">
      <c r="A534" s="10" t="s">
        <v>2185</v>
      </c>
      <c r="B534" s="11" t="s">
        <v>14</v>
      </c>
      <c r="C534" s="11" t="s">
        <v>2186</v>
      </c>
      <c r="D534" s="11" t="s">
        <v>2173</v>
      </c>
      <c r="E534" s="11" t="s">
        <v>2187</v>
      </c>
      <c r="F534" s="11" t="s">
        <v>2188</v>
      </c>
      <c r="G534" s="12" t="s">
        <v>59</v>
      </c>
      <c r="H534" s="12" t="s">
        <v>59</v>
      </c>
      <c r="I534" s="12" t="s">
        <v>508</v>
      </c>
      <c r="J534" s="11" t="s">
        <v>2176</v>
      </c>
      <c r="K534" s="12" t="s">
        <v>62</v>
      </c>
      <c r="L534" s="12" t="s">
        <v>510</v>
      </c>
    </row>
    <row r="535" spans="1:12" ht="26.4" x14ac:dyDescent="0.3">
      <c r="A535" s="10" t="s">
        <v>2189</v>
      </c>
      <c r="B535" s="11" t="s">
        <v>14</v>
      </c>
      <c r="C535" s="11" t="s">
        <v>2190</v>
      </c>
      <c r="D535" s="11" t="s">
        <v>2173</v>
      </c>
      <c r="E535" s="11" t="s">
        <v>2191</v>
      </c>
      <c r="F535" s="11" t="s">
        <v>2192</v>
      </c>
      <c r="G535" s="12" t="s">
        <v>59</v>
      </c>
      <c r="H535" s="12" t="s">
        <v>59</v>
      </c>
      <c r="I535" s="12" t="s">
        <v>508</v>
      </c>
      <c r="J535" s="11" t="s">
        <v>2176</v>
      </c>
      <c r="K535" s="12" t="s">
        <v>62</v>
      </c>
      <c r="L535" s="12" t="s">
        <v>510</v>
      </c>
    </row>
    <row r="536" spans="1:12" ht="26.4" x14ac:dyDescent="0.3">
      <c r="A536" s="10" t="s">
        <v>2193</v>
      </c>
      <c r="B536" s="11" t="s">
        <v>14</v>
      </c>
      <c r="C536" s="11" t="s">
        <v>2194</v>
      </c>
      <c r="D536" s="11" t="s">
        <v>2173</v>
      </c>
      <c r="E536" s="11" t="s">
        <v>2195</v>
      </c>
      <c r="F536" s="11" t="s">
        <v>2196</v>
      </c>
      <c r="G536" s="12" t="s">
        <v>59</v>
      </c>
      <c r="H536" s="12" t="s">
        <v>59</v>
      </c>
      <c r="I536" s="12" t="s">
        <v>508</v>
      </c>
      <c r="J536" s="11" t="s">
        <v>2176</v>
      </c>
      <c r="K536" s="12" t="s">
        <v>62</v>
      </c>
      <c r="L536" s="12" t="s">
        <v>510</v>
      </c>
    </row>
    <row r="537" spans="1:12" ht="26.4" x14ac:dyDescent="0.3">
      <c r="A537" s="10" t="s">
        <v>2197</v>
      </c>
      <c r="B537" s="11" t="s">
        <v>14</v>
      </c>
      <c r="C537" s="11" t="s">
        <v>2198</v>
      </c>
      <c r="D537" s="11" t="s">
        <v>2173</v>
      </c>
      <c r="E537" s="11" t="s">
        <v>2199</v>
      </c>
      <c r="F537" s="11" t="s">
        <v>2200</v>
      </c>
      <c r="G537" s="12" t="s">
        <v>59</v>
      </c>
      <c r="H537" s="12" t="s">
        <v>59</v>
      </c>
      <c r="I537" s="12" t="s">
        <v>508</v>
      </c>
      <c r="J537" s="11" t="s">
        <v>2176</v>
      </c>
      <c r="K537" s="12" t="s">
        <v>62</v>
      </c>
      <c r="L537" s="12" t="s">
        <v>510</v>
      </c>
    </row>
    <row r="538" spans="1:12" ht="26.4" x14ac:dyDescent="0.3">
      <c r="A538" s="10" t="s">
        <v>2201</v>
      </c>
      <c r="B538" s="11" t="s">
        <v>14</v>
      </c>
      <c r="C538" s="11" t="s">
        <v>2202</v>
      </c>
      <c r="D538" s="11" t="s">
        <v>2173</v>
      </c>
      <c r="E538" s="11" t="s">
        <v>2203</v>
      </c>
      <c r="F538" s="11" t="s">
        <v>2204</v>
      </c>
      <c r="G538" s="12" t="s">
        <v>59</v>
      </c>
      <c r="H538" s="12" t="s">
        <v>59</v>
      </c>
      <c r="I538" s="12" t="s">
        <v>508</v>
      </c>
      <c r="J538" s="11" t="s">
        <v>2176</v>
      </c>
      <c r="K538" s="12" t="s">
        <v>62</v>
      </c>
      <c r="L538" s="12" t="s">
        <v>510</v>
      </c>
    </row>
    <row r="539" spans="1:12" ht="26.4" x14ac:dyDescent="0.3">
      <c r="A539" s="10" t="s">
        <v>2205</v>
      </c>
      <c r="B539" s="11" t="s">
        <v>14</v>
      </c>
      <c r="C539" s="11" t="s">
        <v>2206</v>
      </c>
      <c r="D539" s="11" t="s">
        <v>2173</v>
      </c>
      <c r="E539" s="11" t="s">
        <v>2207</v>
      </c>
      <c r="F539" s="11" t="s">
        <v>2208</v>
      </c>
      <c r="G539" s="12" t="s">
        <v>59</v>
      </c>
      <c r="H539" s="12" t="s">
        <v>59</v>
      </c>
      <c r="I539" s="12" t="s">
        <v>508</v>
      </c>
      <c r="J539" s="11" t="s">
        <v>2176</v>
      </c>
      <c r="K539" s="12" t="s">
        <v>62</v>
      </c>
      <c r="L539" s="12" t="s">
        <v>510</v>
      </c>
    </row>
    <row r="540" spans="1:12" ht="26.4" x14ac:dyDescent="0.3">
      <c r="A540" s="10" t="s">
        <v>2209</v>
      </c>
      <c r="B540" s="11" t="s">
        <v>14</v>
      </c>
      <c r="C540" s="11" t="s">
        <v>2210</v>
      </c>
      <c r="D540" s="11" t="s">
        <v>2173</v>
      </c>
      <c r="E540" s="11" t="s">
        <v>2211</v>
      </c>
      <c r="F540" s="11" t="s">
        <v>2212</v>
      </c>
      <c r="G540" s="12" t="s">
        <v>59</v>
      </c>
      <c r="H540" s="12" t="s">
        <v>59</v>
      </c>
      <c r="I540" s="12" t="s">
        <v>508</v>
      </c>
      <c r="J540" s="11" t="s">
        <v>2176</v>
      </c>
      <c r="K540" s="12" t="s">
        <v>62</v>
      </c>
      <c r="L540" s="12" t="s">
        <v>510</v>
      </c>
    </row>
    <row r="541" spans="1:12" ht="26.4" x14ac:dyDescent="0.3">
      <c r="A541" s="10" t="s">
        <v>2213</v>
      </c>
      <c r="B541" s="11" t="s">
        <v>14</v>
      </c>
      <c r="C541" s="11" t="s">
        <v>2214</v>
      </c>
      <c r="D541" s="11" t="s">
        <v>2173</v>
      </c>
      <c r="E541" s="11" t="s">
        <v>2215</v>
      </c>
      <c r="F541" s="11" t="s">
        <v>2216</v>
      </c>
      <c r="G541" s="12" t="s">
        <v>59</v>
      </c>
      <c r="H541" s="12" t="s">
        <v>59</v>
      </c>
      <c r="I541" s="12" t="s">
        <v>508</v>
      </c>
      <c r="J541" s="11" t="s">
        <v>2176</v>
      </c>
      <c r="K541" s="12" t="s">
        <v>62</v>
      </c>
      <c r="L541" s="12" t="s">
        <v>510</v>
      </c>
    </row>
    <row r="542" spans="1:12" ht="26.4" x14ac:dyDescent="0.3">
      <c r="A542" s="10" t="s">
        <v>2217</v>
      </c>
      <c r="B542" s="11" t="s">
        <v>14</v>
      </c>
      <c r="C542" s="11" t="s">
        <v>2218</v>
      </c>
      <c r="D542" s="11" t="s">
        <v>2173</v>
      </c>
      <c r="E542" s="11" t="s">
        <v>2219</v>
      </c>
      <c r="F542" s="11" t="s">
        <v>2220</v>
      </c>
      <c r="G542" s="12" t="s">
        <v>59</v>
      </c>
      <c r="H542" s="12" t="s">
        <v>59</v>
      </c>
      <c r="I542" s="12" t="s">
        <v>508</v>
      </c>
      <c r="J542" s="11" t="s">
        <v>2176</v>
      </c>
      <c r="K542" s="12" t="s">
        <v>62</v>
      </c>
      <c r="L542" s="12" t="s">
        <v>510</v>
      </c>
    </row>
    <row r="543" spans="1:12" ht="26.4" x14ac:dyDescent="0.3">
      <c r="A543" s="10" t="s">
        <v>2221</v>
      </c>
      <c r="B543" s="11" t="s">
        <v>14</v>
      </c>
      <c r="C543" s="11" t="s">
        <v>2222</v>
      </c>
      <c r="D543" s="11" t="s">
        <v>2173</v>
      </c>
      <c r="E543" s="11" t="s">
        <v>2223</v>
      </c>
      <c r="F543" s="11" t="s">
        <v>2224</v>
      </c>
      <c r="G543" s="12" t="s">
        <v>59</v>
      </c>
      <c r="H543" s="12" t="s">
        <v>59</v>
      </c>
      <c r="I543" s="12" t="s">
        <v>508</v>
      </c>
      <c r="J543" s="11" t="s">
        <v>2176</v>
      </c>
      <c r="K543" s="12" t="s">
        <v>62</v>
      </c>
      <c r="L543" s="12" t="s">
        <v>510</v>
      </c>
    </row>
    <row r="544" spans="1:12" ht="26.4" x14ac:dyDescent="0.3">
      <c r="A544" s="10" t="s">
        <v>2225</v>
      </c>
      <c r="B544" s="11" t="s">
        <v>14</v>
      </c>
      <c r="C544" s="11" t="s">
        <v>2226</v>
      </c>
      <c r="D544" s="11" t="s">
        <v>2173</v>
      </c>
      <c r="E544" s="11" t="s">
        <v>2227</v>
      </c>
      <c r="F544" s="11" t="s">
        <v>2228</v>
      </c>
      <c r="G544" s="12" t="s">
        <v>59</v>
      </c>
      <c r="H544" s="12" t="s">
        <v>59</v>
      </c>
      <c r="I544" s="12" t="s">
        <v>508</v>
      </c>
      <c r="J544" s="11" t="s">
        <v>2176</v>
      </c>
      <c r="K544" s="12" t="s">
        <v>62</v>
      </c>
      <c r="L544" s="12" t="s">
        <v>510</v>
      </c>
    </row>
    <row r="545" spans="1:12" ht="26.4" x14ac:dyDescent="0.3">
      <c r="A545" s="10" t="s">
        <v>2229</v>
      </c>
      <c r="B545" s="11" t="s">
        <v>14</v>
      </c>
      <c r="C545" s="11" t="s">
        <v>2230</v>
      </c>
      <c r="D545" s="11" t="s">
        <v>2231</v>
      </c>
      <c r="E545" s="11" t="s">
        <v>2232</v>
      </c>
      <c r="F545" s="11" t="s">
        <v>393</v>
      </c>
      <c r="G545" s="12" t="s">
        <v>59</v>
      </c>
      <c r="H545" s="12" t="s">
        <v>59</v>
      </c>
      <c r="I545" s="12" t="s">
        <v>508</v>
      </c>
      <c r="J545" s="11" t="s">
        <v>2233</v>
      </c>
      <c r="K545" s="12" t="s">
        <v>62</v>
      </c>
      <c r="L545" s="12" t="s">
        <v>510</v>
      </c>
    </row>
    <row r="546" spans="1:12" ht="26.4" x14ac:dyDescent="0.3">
      <c r="A546" s="10" t="s">
        <v>2234</v>
      </c>
      <c r="B546" s="11" t="s">
        <v>14</v>
      </c>
      <c r="C546" s="11" t="s">
        <v>2230</v>
      </c>
      <c r="D546" s="11" t="s">
        <v>2231</v>
      </c>
      <c r="E546" s="11" t="s">
        <v>2235</v>
      </c>
      <c r="F546" s="11" t="s">
        <v>393</v>
      </c>
      <c r="G546" s="12" t="s">
        <v>59</v>
      </c>
      <c r="H546" s="12" t="s">
        <v>59</v>
      </c>
      <c r="I546" s="12" t="s">
        <v>508</v>
      </c>
      <c r="J546" s="11" t="s">
        <v>2233</v>
      </c>
      <c r="K546" s="12" t="s">
        <v>62</v>
      </c>
      <c r="L546" s="12" t="s">
        <v>510</v>
      </c>
    </row>
    <row r="547" spans="1:12" ht="26.4" x14ac:dyDescent="0.3">
      <c r="A547" s="10" t="s">
        <v>2236</v>
      </c>
      <c r="B547" s="11" t="s">
        <v>14</v>
      </c>
      <c r="C547" s="11" t="s">
        <v>2230</v>
      </c>
      <c r="D547" s="11" t="s">
        <v>2231</v>
      </c>
      <c r="E547" s="11" t="s">
        <v>2237</v>
      </c>
      <c r="F547" s="11" t="s">
        <v>393</v>
      </c>
      <c r="G547" s="12" t="s">
        <v>59</v>
      </c>
      <c r="H547" s="12" t="s">
        <v>59</v>
      </c>
      <c r="I547" s="12" t="s">
        <v>508</v>
      </c>
      <c r="J547" s="11" t="s">
        <v>2233</v>
      </c>
      <c r="K547" s="12" t="s">
        <v>62</v>
      </c>
      <c r="L547" s="12" t="s">
        <v>510</v>
      </c>
    </row>
    <row r="548" spans="1:12" ht="26.4" x14ac:dyDescent="0.3">
      <c r="A548" s="10" t="s">
        <v>2238</v>
      </c>
      <c r="B548" s="11" t="s">
        <v>14</v>
      </c>
      <c r="C548" s="11" t="s">
        <v>2230</v>
      </c>
      <c r="D548" s="11" t="s">
        <v>2231</v>
      </c>
      <c r="E548" s="11" t="s">
        <v>2239</v>
      </c>
      <c r="F548" s="11" t="s">
        <v>393</v>
      </c>
      <c r="G548" s="12" t="s">
        <v>59</v>
      </c>
      <c r="H548" s="12" t="s">
        <v>59</v>
      </c>
      <c r="I548" s="12" t="s">
        <v>508</v>
      </c>
      <c r="J548" s="11" t="s">
        <v>2233</v>
      </c>
      <c r="K548" s="12" t="s">
        <v>62</v>
      </c>
      <c r="L548" s="12" t="s">
        <v>510</v>
      </c>
    </row>
    <row r="549" spans="1:12" ht="39.6" x14ac:dyDescent="0.3">
      <c r="A549" s="10" t="s">
        <v>2240</v>
      </c>
      <c r="B549" s="11" t="s">
        <v>14</v>
      </c>
      <c r="C549" s="11" t="s">
        <v>2241</v>
      </c>
      <c r="D549" s="11" t="s">
        <v>2242</v>
      </c>
      <c r="E549" s="11" t="s">
        <v>2243</v>
      </c>
      <c r="F549" s="11" t="s">
        <v>1744</v>
      </c>
      <c r="G549" s="12" t="s">
        <v>59</v>
      </c>
      <c r="H549" s="12" t="s">
        <v>59</v>
      </c>
      <c r="I549" s="12" t="s">
        <v>508</v>
      </c>
      <c r="J549" s="11" t="s">
        <v>2244</v>
      </c>
      <c r="K549" s="12" t="s">
        <v>62</v>
      </c>
      <c r="L549" s="12" t="s">
        <v>510</v>
      </c>
    </row>
    <row r="550" spans="1:12" ht="39.6" x14ac:dyDescent="0.3">
      <c r="A550" s="10" t="s">
        <v>2245</v>
      </c>
      <c r="B550" s="11" t="s">
        <v>14</v>
      </c>
      <c r="C550" s="11" t="s">
        <v>2246</v>
      </c>
      <c r="D550" s="11" t="s">
        <v>2242</v>
      </c>
      <c r="E550" s="11" t="s">
        <v>2247</v>
      </c>
      <c r="F550" s="11" t="s">
        <v>1758</v>
      </c>
      <c r="G550" s="12" t="s">
        <v>59</v>
      </c>
      <c r="H550" s="12" t="s">
        <v>59</v>
      </c>
      <c r="I550" s="12" t="s">
        <v>508</v>
      </c>
      <c r="J550" s="11" t="s">
        <v>2244</v>
      </c>
      <c r="K550" s="12" t="s">
        <v>62</v>
      </c>
      <c r="L550" s="12" t="s">
        <v>510</v>
      </c>
    </row>
    <row r="551" spans="1:12" ht="39.6" x14ac:dyDescent="0.3">
      <c r="A551" s="10" t="s">
        <v>2248</v>
      </c>
      <c r="B551" s="11" t="s">
        <v>14</v>
      </c>
      <c r="C551" s="11" t="s">
        <v>2249</v>
      </c>
      <c r="D551" s="11" t="s">
        <v>2242</v>
      </c>
      <c r="E551" s="11" t="s">
        <v>2250</v>
      </c>
      <c r="F551" s="11" t="s">
        <v>1758</v>
      </c>
      <c r="G551" s="12" t="s">
        <v>59</v>
      </c>
      <c r="H551" s="12" t="s">
        <v>59</v>
      </c>
      <c r="I551" s="12" t="s">
        <v>508</v>
      </c>
      <c r="J551" s="11" t="s">
        <v>2244</v>
      </c>
      <c r="K551" s="12" t="s">
        <v>62</v>
      </c>
      <c r="L551" s="12" t="s">
        <v>510</v>
      </c>
    </row>
    <row r="552" spans="1:12" ht="39.6" x14ac:dyDescent="0.3">
      <c r="A552" s="10" t="s">
        <v>2251</v>
      </c>
      <c r="B552" s="11" t="s">
        <v>14</v>
      </c>
      <c r="C552" s="11" t="s">
        <v>2252</v>
      </c>
      <c r="D552" s="11" t="s">
        <v>2242</v>
      </c>
      <c r="E552" s="11" t="s">
        <v>2253</v>
      </c>
      <c r="F552" s="11" t="s">
        <v>1758</v>
      </c>
      <c r="G552" s="12" t="s">
        <v>59</v>
      </c>
      <c r="H552" s="12" t="s">
        <v>59</v>
      </c>
      <c r="I552" s="12" t="s">
        <v>508</v>
      </c>
      <c r="J552" s="11" t="s">
        <v>2244</v>
      </c>
      <c r="K552" s="12" t="s">
        <v>62</v>
      </c>
      <c r="L552" s="12" t="s">
        <v>510</v>
      </c>
    </row>
    <row r="553" spans="1:12" ht="26.4" x14ac:dyDescent="0.3">
      <c r="A553" s="10" t="s">
        <v>2254</v>
      </c>
      <c r="B553" s="11" t="s">
        <v>14</v>
      </c>
      <c r="C553" s="11" t="s">
        <v>2255</v>
      </c>
      <c r="D553" s="11" t="s">
        <v>2256</v>
      </c>
      <c r="E553" s="11" t="s">
        <v>2257</v>
      </c>
      <c r="F553" s="11" t="s">
        <v>2258</v>
      </c>
      <c r="G553" s="12" t="s">
        <v>59</v>
      </c>
      <c r="H553" s="12" t="s">
        <v>59</v>
      </c>
      <c r="I553" s="12" t="s">
        <v>508</v>
      </c>
      <c r="J553" s="11" t="s">
        <v>2259</v>
      </c>
      <c r="K553" s="12" t="s">
        <v>62</v>
      </c>
      <c r="L553" s="12" t="s">
        <v>510</v>
      </c>
    </row>
    <row r="554" spans="1:12" ht="26.4" x14ac:dyDescent="0.3">
      <c r="A554" s="10" t="s">
        <v>2260</v>
      </c>
      <c r="B554" s="11" t="s">
        <v>14</v>
      </c>
      <c r="C554" s="11" t="s">
        <v>2261</v>
      </c>
      <c r="D554" s="11" t="s">
        <v>2256</v>
      </c>
      <c r="E554" s="11" t="s">
        <v>2262</v>
      </c>
      <c r="F554" s="11" t="s">
        <v>2263</v>
      </c>
      <c r="G554" s="12" t="s">
        <v>59</v>
      </c>
      <c r="H554" s="12" t="s">
        <v>59</v>
      </c>
      <c r="I554" s="12" t="s">
        <v>508</v>
      </c>
      <c r="J554" s="11" t="s">
        <v>2259</v>
      </c>
      <c r="K554" s="12" t="s">
        <v>62</v>
      </c>
      <c r="L554" s="12" t="s">
        <v>510</v>
      </c>
    </row>
    <row r="555" spans="1:12" ht="26.4" x14ac:dyDescent="0.3">
      <c r="A555" s="10" t="s">
        <v>2264</v>
      </c>
      <c r="B555" s="11" t="s">
        <v>14</v>
      </c>
      <c r="C555" s="11" t="s">
        <v>2265</v>
      </c>
      <c r="D555" s="11" t="s">
        <v>2256</v>
      </c>
      <c r="E555" s="11" t="s">
        <v>2266</v>
      </c>
      <c r="F555" s="11" t="s">
        <v>2267</v>
      </c>
      <c r="G555" s="12" t="s">
        <v>59</v>
      </c>
      <c r="H555" s="12" t="s">
        <v>59</v>
      </c>
      <c r="I555" s="12" t="s">
        <v>508</v>
      </c>
      <c r="J555" s="11" t="s">
        <v>2259</v>
      </c>
      <c r="K555" s="12" t="s">
        <v>62</v>
      </c>
      <c r="L555" s="12" t="s">
        <v>510</v>
      </c>
    </row>
    <row r="556" spans="1:12" ht="26.4" x14ac:dyDescent="0.3">
      <c r="A556" s="10" t="s">
        <v>2268</v>
      </c>
      <c r="B556" s="11" t="s">
        <v>14</v>
      </c>
      <c r="C556" s="11" t="s">
        <v>2269</v>
      </c>
      <c r="D556" s="11" t="s">
        <v>2256</v>
      </c>
      <c r="E556" s="11" t="s">
        <v>2270</v>
      </c>
      <c r="F556" s="11" t="s">
        <v>2271</v>
      </c>
      <c r="G556" s="12" t="s">
        <v>59</v>
      </c>
      <c r="H556" s="12" t="s">
        <v>59</v>
      </c>
      <c r="I556" s="12" t="s">
        <v>508</v>
      </c>
      <c r="J556" s="11" t="s">
        <v>2259</v>
      </c>
      <c r="K556" s="12" t="s">
        <v>62</v>
      </c>
      <c r="L556" s="12" t="s">
        <v>510</v>
      </c>
    </row>
    <row r="557" spans="1:12" ht="26.4" x14ac:dyDescent="0.3">
      <c r="A557" s="10" t="s">
        <v>2272</v>
      </c>
      <c r="B557" s="11" t="s">
        <v>14</v>
      </c>
      <c r="C557" s="11" t="s">
        <v>2273</v>
      </c>
      <c r="D557" s="11" t="s">
        <v>2256</v>
      </c>
      <c r="E557" s="11" t="s">
        <v>2274</v>
      </c>
      <c r="F557" s="11" t="s">
        <v>2275</v>
      </c>
      <c r="G557" s="12" t="s">
        <v>59</v>
      </c>
      <c r="H557" s="12" t="s">
        <v>59</v>
      </c>
      <c r="I557" s="12" t="s">
        <v>508</v>
      </c>
      <c r="J557" s="11" t="s">
        <v>2259</v>
      </c>
      <c r="K557" s="12" t="s">
        <v>62</v>
      </c>
      <c r="L557" s="12" t="s">
        <v>510</v>
      </c>
    </row>
    <row r="558" spans="1:12" ht="26.4" x14ac:dyDescent="0.3">
      <c r="A558" s="10" t="s">
        <v>2276</v>
      </c>
      <c r="B558" s="11" t="s">
        <v>14</v>
      </c>
      <c r="C558" s="11" t="s">
        <v>2277</v>
      </c>
      <c r="D558" s="11" t="s">
        <v>2256</v>
      </c>
      <c r="E558" s="11" t="s">
        <v>2278</v>
      </c>
      <c r="F558" s="11" t="s">
        <v>2279</v>
      </c>
      <c r="G558" s="12" t="s">
        <v>59</v>
      </c>
      <c r="H558" s="12" t="s">
        <v>59</v>
      </c>
      <c r="I558" s="12" t="s">
        <v>508</v>
      </c>
      <c r="J558" s="11" t="s">
        <v>2259</v>
      </c>
      <c r="K558" s="12" t="s">
        <v>62</v>
      </c>
      <c r="L558" s="12" t="s">
        <v>510</v>
      </c>
    </row>
    <row r="559" spans="1:12" ht="26.4" x14ac:dyDescent="0.3">
      <c r="A559" s="10" t="s">
        <v>2280</v>
      </c>
      <c r="B559" s="11" t="s">
        <v>14</v>
      </c>
      <c r="C559" s="11" t="s">
        <v>2281</v>
      </c>
      <c r="D559" s="11" t="s">
        <v>2256</v>
      </c>
      <c r="E559" s="11" t="s">
        <v>2282</v>
      </c>
      <c r="F559" s="11" t="s">
        <v>2283</v>
      </c>
      <c r="G559" s="12" t="s">
        <v>59</v>
      </c>
      <c r="H559" s="12" t="s">
        <v>59</v>
      </c>
      <c r="I559" s="12" t="s">
        <v>508</v>
      </c>
      <c r="J559" s="11" t="s">
        <v>2259</v>
      </c>
      <c r="K559" s="12" t="s">
        <v>62</v>
      </c>
      <c r="L559" s="12" t="s">
        <v>510</v>
      </c>
    </row>
    <row r="560" spans="1:12" ht="26.4" x14ac:dyDescent="0.3">
      <c r="A560" s="10" t="s">
        <v>2284</v>
      </c>
      <c r="B560" s="11" t="s">
        <v>14</v>
      </c>
      <c r="C560" s="11" t="s">
        <v>2285</v>
      </c>
      <c r="D560" s="11" t="s">
        <v>2256</v>
      </c>
      <c r="E560" s="11" t="s">
        <v>2286</v>
      </c>
      <c r="F560" s="11" t="s">
        <v>2287</v>
      </c>
      <c r="G560" s="12" t="s">
        <v>59</v>
      </c>
      <c r="H560" s="12" t="s">
        <v>59</v>
      </c>
      <c r="I560" s="12" t="s">
        <v>508</v>
      </c>
      <c r="J560" s="11" t="s">
        <v>2259</v>
      </c>
      <c r="K560" s="12" t="s">
        <v>62</v>
      </c>
      <c r="L560" s="12" t="s">
        <v>510</v>
      </c>
    </row>
    <row r="561" spans="1:12" ht="26.4" x14ac:dyDescent="0.3">
      <c r="A561" s="10" t="s">
        <v>2288</v>
      </c>
      <c r="B561" s="11" t="s">
        <v>14</v>
      </c>
      <c r="C561" s="11" t="s">
        <v>2289</v>
      </c>
      <c r="D561" s="11" t="s">
        <v>2256</v>
      </c>
      <c r="E561" s="11" t="s">
        <v>2290</v>
      </c>
      <c r="F561" s="11" t="s">
        <v>2291</v>
      </c>
      <c r="G561" s="12" t="s">
        <v>59</v>
      </c>
      <c r="H561" s="12" t="s">
        <v>59</v>
      </c>
      <c r="I561" s="12" t="s">
        <v>508</v>
      </c>
      <c r="J561" s="11" t="s">
        <v>2259</v>
      </c>
      <c r="K561" s="12" t="s">
        <v>62</v>
      </c>
      <c r="L561" s="12" t="s">
        <v>510</v>
      </c>
    </row>
    <row r="562" spans="1:12" ht="26.4" x14ac:dyDescent="0.3">
      <c r="A562" s="10" t="s">
        <v>2292</v>
      </c>
      <c r="B562" s="11" t="s">
        <v>14</v>
      </c>
      <c r="C562" s="11" t="s">
        <v>2293</v>
      </c>
      <c r="D562" s="11" t="s">
        <v>2256</v>
      </c>
      <c r="E562" s="11" t="s">
        <v>2294</v>
      </c>
      <c r="F562" s="11" t="s">
        <v>2295</v>
      </c>
      <c r="G562" s="12" t="s">
        <v>59</v>
      </c>
      <c r="H562" s="12" t="s">
        <v>59</v>
      </c>
      <c r="I562" s="12" t="s">
        <v>508</v>
      </c>
      <c r="J562" s="11" t="s">
        <v>2259</v>
      </c>
      <c r="K562" s="12" t="s">
        <v>62</v>
      </c>
      <c r="L562" s="12" t="s">
        <v>510</v>
      </c>
    </row>
    <row r="563" spans="1:12" ht="26.4" x14ac:dyDescent="0.3">
      <c r="A563" s="10" t="s">
        <v>2296</v>
      </c>
      <c r="B563" s="11" t="s">
        <v>14</v>
      </c>
      <c r="C563" s="11" t="s">
        <v>2297</v>
      </c>
      <c r="D563" s="11" t="s">
        <v>2298</v>
      </c>
      <c r="E563" s="11" t="s">
        <v>2299</v>
      </c>
      <c r="F563" s="11" t="s">
        <v>2300</v>
      </c>
      <c r="G563" s="12" t="s">
        <v>59</v>
      </c>
      <c r="H563" s="12" t="s">
        <v>59</v>
      </c>
      <c r="I563" s="12" t="s">
        <v>508</v>
      </c>
      <c r="J563" s="11" t="s">
        <v>2301</v>
      </c>
      <c r="K563" s="12" t="s">
        <v>62</v>
      </c>
      <c r="L563" s="12" t="s">
        <v>510</v>
      </c>
    </row>
    <row r="564" spans="1:12" ht="26.4" x14ac:dyDescent="0.3">
      <c r="A564" s="10" t="s">
        <v>2302</v>
      </c>
      <c r="B564" s="11" t="s">
        <v>14</v>
      </c>
      <c r="C564" s="11" t="s">
        <v>2297</v>
      </c>
      <c r="D564" s="11" t="s">
        <v>2298</v>
      </c>
      <c r="E564" s="11" t="s">
        <v>2303</v>
      </c>
      <c r="F564" s="11" t="s">
        <v>2300</v>
      </c>
      <c r="G564" s="12" t="s">
        <v>59</v>
      </c>
      <c r="H564" s="12" t="s">
        <v>59</v>
      </c>
      <c r="I564" s="12" t="s">
        <v>508</v>
      </c>
      <c r="J564" s="11" t="s">
        <v>2301</v>
      </c>
      <c r="K564" s="12" t="s">
        <v>62</v>
      </c>
      <c r="L564" s="12" t="s">
        <v>510</v>
      </c>
    </row>
    <row r="565" spans="1:12" ht="26.4" x14ac:dyDescent="0.3">
      <c r="A565" s="10" t="s">
        <v>2304</v>
      </c>
      <c r="B565" s="11" t="s">
        <v>14</v>
      </c>
      <c r="C565" s="11" t="s">
        <v>2297</v>
      </c>
      <c r="D565" s="11" t="s">
        <v>2298</v>
      </c>
      <c r="E565" s="11" t="s">
        <v>2305</v>
      </c>
      <c r="F565" s="11" t="s">
        <v>2300</v>
      </c>
      <c r="G565" s="12" t="s">
        <v>59</v>
      </c>
      <c r="H565" s="12" t="s">
        <v>59</v>
      </c>
      <c r="I565" s="12" t="s">
        <v>508</v>
      </c>
      <c r="J565" s="11" t="s">
        <v>2301</v>
      </c>
      <c r="K565" s="12" t="s">
        <v>62</v>
      </c>
      <c r="L565" s="12" t="s">
        <v>510</v>
      </c>
    </row>
    <row r="566" spans="1:12" ht="26.4" x14ac:dyDescent="0.3">
      <c r="A566" s="10" t="s">
        <v>2306</v>
      </c>
      <c r="B566" s="11" t="s">
        <v>14</v>
      </c>
      <c r="C566" s="11" t="s">
        <v>2297</v>
      </c>
      <c r="D566" s="11" t="s">
        <v>2298</v>
      </c>
      <c r="E566" s="11" t="s">
        <v>2307</v>
      </c>
      <c r="F566" s="11" t="s">
        <v>2300</v>
      </c>
      <c r="G566" s="12" t="s">
        <v>59</v>
      </c>
      <c r="H566" s="12" t="s">
        <v>59</v>
      </c>
      <c r="I566" s="12" t="s">
        <v>508</v>
      </c>
      <c r="J566" s="11" t="s">
        <v>2301</v>
      </c>
      <c r="K566" s="12" t="s">
        <v>62</v>
      </c>
      <c r="L566" s="12" t="s">
        <v>510</v>
      </c>
    </row>
    <row r="567" spans="1:12" ht="26.4" x14ac:dyDescent="0.3">
      <c r="A567" s="10" t="s">
        <v>2308</v>
      </c>
      <c r="B567" s="11" t="s">
        <v>14</v>
      </c>
      <c r="C567" s="11" t="s">
        <v>2309</v>
      </c>
      <c r="D567" s="11" t="s">
        <v>2310</v>
      </c>
      <c r="E567" s="11" t="s">
        <v>121</v>
      </c>
      <c r="F567" s="11" t="s">
        <v>2311</v>
      </c>
      <c r="G567" s="12" t="s">
        <v>59</v>
      </c>
      <c r="H567" s="12" t="s">
        <v>59</v>
      </c>
      <c r="I567" s="12" t="s">
        <v>508</v>
      </c>
      <c r="J567" s="11" t="s">
        <v>2312</v>
      </c>
      <c r="K567" s="12" t="s">
        <v>62</v>
      </c>
      <c r="L567" s="12" t="s">
        <v>510</v>
      </c>
    </row>
    <row r="568" spans="1:12" ht="26.4" x14ac:dyDescent="0.3">
      <c r="A568" s="10" t="s">
        <v>2313</v>
      </c>
      <c r="B568" s="11" t="s">
        <v>14</v>
      </c>
      <c r="C568" s="11" t="s">
        <v>2314</v>
      </c>
      <c r="D568" s="11" t="s">
        <v>2310</v>
      </c>
      <c r="E568" s="11" t="s">
        <v>162</v>
      </c>
      <c r="F568" s="11" t="s">
        <v>2315</v>
      </c>
      <c r="G568" s="12" t="s">
        <v>59</v>
      </c>
      <c r="H568" s="12" t="s">
        <v>59</v>
      </c>
      <c r="I568" s="12" t="s">
        <v>508</v>
      </c>
      <c r="J568" s="11" t="s">
        <v>2312</v>
      </c>
      <c r="K568" s="12" t="s">
        <v>62</v>
      </c>
      <c r="L568" s="12" t="s">
        <v>510</v>
      </c>
    </row>
    <row r="569" spans="1:12" ht="26.4" x14ac:dyDescent="0.3">
      <c r="A569" s="10" t="s">
        <v>2316</v>
      </c>
      <c r="B569" s="11" t="s">
        <v>14</v>
      </c>
      <c r="C569" s="11" t="s">
        <v>2317</v>
      </c>
      <c r="D569" s="11" t="s">
        <v>2310</v>
      </c>
      <c r="E569" s="11" t="s">
        <v>127</v>
      </c>
      <c r="F569" s="11" t="s">
        <v>2318</v>
      </c>
      <c r="G569" s="12" t="s">
        <v>59</v>
      </c>
      <c r="H569" s="12" t="s">
        <v>59</v>
      </c>
      <c r="I569" s="12" t="s">
        <v>508</v>
      </c>
      <c r="J569" s="11" t="s">
        <v>2312</v>
      </c>
      <c r="K569" s="12" t="s">
        <v>62</v>
      </c>
      <c r="L569" s="12" t="s">
        <v>510</v>
      </c>
    </row>
    <row r="570" spans="1:12" ht="26.4" x14ac:dyDescent="0.3">
      <c r="A570" s="10" t="s">
        <v>2319</v>
      </c>
      <c r="B570" s="11" t="s">
        <v>14</v>
      </c>
      <c r="C570" s="11" t="s">
        <v>2320</v>
      </c>
      <c r="D570" s="11" t="s">
        <v>2321</v>
      </c>
      <c r="E570" s="11" t="s">
        <v>2322</v>
      </c>
      <c r="F570" s="11" t="s">
        <v>2323</v>
      </c>
      <c r="G570" s="12" t="s">
        <v>59</v>
      </c>
      <c r="H570" s="12" t="s">
        <v>59</v>
      </c>
      <c r="I570" s="12" t="s">
        <v>508</v>
      </c>
      <c r="J570" s="11" t="s">
        <v>2324</v>
      </c>
      <c r="K570" s="12" t="s">
        <v>62</v>
      </c>
      <c r="L570" s="12" t="s">
        <v>510</v>
      </c>
    </row>
    <row r="571" spans="1:12" ht="26.4" x14ac:dyDescent="0.3">
      <c r="A571" s="10" t="s">
        <v>2325</v>
      </c>
      <c r="B571" s="11" t="s">
        <v>14</v>
      </c>
      <c r="C571" s="11" t="s">
        <v>2326</v>
      </c>
      <c r="D571" s="11" t="s">
        <v>2321</v>
      </c>
      <c r="E571" s="11" t="s">
        <v>2327</v>
      </c>
      <c r="F571" s="11" t="s">
        <v>2328</v>
      </c>
      <c r="G571" s="12" t="s">
        <v>59</v>
      </c>
      <c r="H571" s="12" t="s">
        <v>59</v>
      </c>
      <c r="I571" s="12" t="s">
        <v>508</v>
      </c>
      <c r="J571" s="11" t="s">
        <v>2324</v>
      </c>
      <c r="K571" s="12" t="s">
        <v>62</v>
      </c>
      <c r="L571" s="12" t="s">
        <v>510</v>
      </c>
    </row>
    <row r="572" spans="1:12" ht="26.4" x14ac:dyDescent="0.3">
      <c r="A572" s="10" t="s">
        <v>2329</v>
      </c>
      <c r="B572" s="11" t="s">
        <v>14</v>
      </c>
      <c r="C572" s="11" t="s">
        <v>2330</v>
      </c>
      <c r="D572" s="11" t="s">
        <v>2321</v>
      </c>
      <c r="E572" s="11" t="s">
        <v>2331</v>
      </c>
      <c r="F572" s="11" t="s">
        <v>2332</v>
      </c>
      <c r="G572" s="12" t="s">
        <v>59</v>
      </c>
      <c r="H572" s="12" t="s">
        <v>59</v>
      </c>
      <c r="I572" s="12" t="s">
        <v>508</v>
      </c>
      <c r="J572" s="11" t="s">
        <v>2324</v>
      </c>
      <c r="K572" s="12" t="s">
        <v>62</v>
      </c>
      <c r="L572" s="12" t="s">
        <v>510</v>
      </c>
    </row>
    <row r="573" spans="1:12" ht="26.4" x14ac:dyDescent="0.3">
      <c r="A573" s="10" t="s">
        <v>2333</v>
      </c>
      <c r="B573" s="11" t="s">
        <v>14</v>
      </c>
      <c r="C573" s="11" t="s">
        <v>2334</v>
      </c>
      <c r="D573" s="11" t="s">
        <v>2321</v>
      </c>
      <c r="E573" s="11" t="s">
        <v>2335</v>
      </c>
      <c r="F573" s="11" t="s">
        <v>2336</v>
      </c>
      <c r="G573" s="12" t="s">
        <v>59</v>
      </c>
      <c r="H573" s="12" t="s">
        <v>59</v>
      </c>
      <c r="I573" s="12" t="s">
        <v>508</v>
      </c>
      <c r="J573" s="11" t="s">
        <v>2324</v>
      </c>
      <c r="K573" s="12" t="s">
        <v>62</v>
      </c>
      <c r="L573" s="12" t="s">
        <v>510</v>
      </c>
    </row>
    <row r="574" spans="1:12" ht="26.4" x14ac:dyDescent="0.3">
      <c r="A574" s="10" t="s">
        <v>2337</v>
      </c>
      <c r="B574" s="11" t="s">
        <v>14</v>
      </c>
      <c r="C574" s="11" t="s">
        <v>2338</v>
      </c>
      <c r="D574" s="11" t="s">
        <v>2321</v>
      </c>
      <c r="E574" s="11" t="s">
        <v>2339</v>
      </c>
      <c r="F574" s="11" t="s">
        <v>2340</v>
      </c>
      <c r="G574" s="12" t="s">
        <v>59</v>
      </c>
      <c r="H574" s="12" t="s">
        <v>59</v>
      </c>
      <c r="I574" s="12" t="s">
        <v>508</v>
      </c>
      <c r="J574" s="11" t="s">
        <v>2324</v>
      </c>
      <c r="K574" s="12" t="s">
        <v>62</v>
      </c>
      <c r="L574" s="12" t="s">
        <v>510</v>
      </c>
    </row>
    <row r="575" spans="1:12" ht="26.4" x14ac:dyDescent="0.3">
      <c r="A575" s="10" t="s">
        <v>2341</v>
      </c>
      <c r="B575" s="11" t="s">
        <v>14</v>
      </c>
      <c r="C575" s="11" t="s">
        <v>2342</v>
      </c>
      <c r="D575" s="11" t="s">
        <v>2343</v>
      </c>
      <c r="E575" s="11" t="s">
        <v>2148</v>
      </c>
      <c r="F575" s="11" t="s">
        <v>2344</v>
      </c>
      <c r="G575" s="12" t="s">
        <v>59</v>
      </c>
      <c r="H575" s="12" t="s">
        <v>59</v>
      </c>
      <c r="I575" s="12" t="s">
        <v>508</v>
      </c>
      <c r="J575" s="11" t="s">
        <v>2345</v>
      </c>
      <c r="K575" s="12" t="s">
        <v>62</v>
      </c>
      <c r="L575" s="12" t="s">
        <v>510</v>
      </c>
    </row>
    <row r="576" spans="1:12" ht="26.4" x14ac:dyDescent="0.3">
      <c r="A576" s="10" t="s">
        <v>2346</v>
      </c>
      <c r="B576" s="11" t="s">
        <v>14</v>
      </c>
      <c r="C576" s="11" t="s">
        <v>2342</v>
      </c>
      <c r="D576" s="11" t="s">
        <v>2343</v>
      </c>
      <c r="E576" s="11" t="s">
        <v>2153</v>
      </c>
      <c r="F576" s="11" t="s">
        <v>2344</v>
      </c>
      <c r="G576" s="12" t="s">
        <v>59</v>
      </c>
      <c r="H576" s="12" t="s">
        <v>59</v>
      </c>
      <c r="I576" s="12" t="s">
        <v>508</v>
      </c>
      <c r="J576" s="11" t="s">
        <v>2345</v>
      </c>
      <c r="K576" s="12" t="s">
        <v>62</v>
      </c>
      <c r="L576" s="12" t="s">
        <v>510</v>
      </c>
    </row>
    <row r="577" spans="1:12" ht="26.4" x14ac:dyDescent="0.3">
      <c r="A577" s="10" t="s">
        <v>2347</v>
      </c>
      <c r="B577" s="11" t="s">
        <v>14</v>
      </c>
      <c r="C577" s="11" t="s">
        <v>2348</v>
      </c>
      <c r="D577" s="11" t="s">
        <v>2349</v>
      </c>
      <c r="E577" s="11" t="s">
        <v>2350</v>
      </c>
      <c r="F577" s="11" t="s">
        <v>2351</v>
      </c>
      <c r="G577" s="12" t="s">
        <v>59</v>
      </c>
      <c r="H577" s="12" t="s">
        <v>59</v>
      </c>
      <c r="I577" s="12" t="s">
        <v>508</v>
      </c>
      <c r="J577" s="11" t="s">
        <v>2352</v>
      </c>
      <c r="K577" s="12" t="s">
        <v>62</v>
      </c>
      <c r="L577" s="12" t="s">
        <v>510</v>
      </c>
    </row>
    <row r="578" spans="1:12" ht="26.4" x14ac:dyDescent="0.3">
      <c r="A578" s="10" t="s">
        <v>2353</v>
      </c>
      <c r="B578" s="11" t="s">
        <v>14</v>
      </c>
      <c r="C578" s="11" t="s">
        <v>2348</v>
      </c>
      <c r="D578" s="11" t="s">
        <v>2349</v>
      </c>
      <c r="E578" s="11" t="s">
        <v>2354</v>
      </c>
      <c r="F578" s="11" t="s">
        <v>2351</v>
      </c>
      <c r="G578" s="12" t="s">
        <v>59</v>
      </c>
      <c r="H578" s="12" t="s">
        <v>59</v>
      </c>
      <c r="I578" s="12" t="s">
        <v>508</v>
      </c>
      <c r="J578" s="11" t="s">
        <v>2352</v>
      </c>
      <c r="K578" s="12" t="s">
        <v>62</v>
      </c>
      <c r="L578" s="12" t="s">
        <v>510</v>
      </c>
    </row>
    <row r="579" spans="1:12" ht="26.4" x14ac:dyDescent="0.3">
      <c r="A579" s="10" t="s">
        <v>2355</v>
      </c>
      <c r="B579" s="11" t="s">
        <v>15</v>
      </c>
      <c r="C579" s="11" t="s">
        <v>2356</v>
      </c>
      <c r="D579" s="11" t="s">
        <v>2357</v>
      </c>
      <c r="E579" s="11" t="s">
        <v>2358</v>
      </c>
      <c r="F579" s="11" t="s">
        <v>2359</v>
      </c>
      <c r="G579" s="12" t="s">
        <v>59</v>
      </c>
      <c r="H579" s="12" t="s">
        <v>59</v>
      </c>
      <c r="I579" s="12" t="s">
        <v>508</v>
      </c>
      <c r="J579" s="11" t="s">
        <v>2360</v>
      </c>
      <c r="K579" s="12" t="s">
        <v>62</v>
      </c>
      <c r="L579" s="12" t="s">
        <v>510</v>
      </c>
    </row>
    <row r="580" spans="1:12" ht="26.4" x14ac:dyDescent="0.3">
      <c r="A580" s="10" t="s">
        <v>2361</v>
      </c>
      <c r="B580" s="11" t="s">
        <v>15</v>
      </c>
      <c r="C580" s="11" t="s">
        <v>2362</v>
      </c>
      <c r="D580" s="11" t="s">
        <v>2357</v>
      </c>
      <c r="E580" s="11" t="s">
        <v>2358</v>
      </c>
      <c r="F580" s="11" t="s">
        <v>2363</v>
      </c>
      <c r="G580" s="12" t="s">
        <v>59</v>
      </c>
      <c r="H580" s="12" t="s">
        <v>59</v>
      </c>
      <c r="I580" s="12" t="s">
        <v>508</v>
      </c>
      <c r="J580" s="11" t="s">
        <v>2360</v>
      </c>
      <c r="K580" s="12" t="s">
        <v>62</v>
      </c>
      <c r="L580" s="12" t="s">
        <v>510</v>
      </c>
    </row>
    <row r="581" spans="1:12" ht="26.4" x14ac:dyDescent="0.3">
      <c r="A581" s="10" t="s">
        <v>2364</v>
      </c>
      <c r="B581" s="11" t="s">
        <v>15</v>
      </c>
      <c r="C581" s="11" t="s">
        <v>2365</v>
      </c>
      <c r="D581" s="11" t="s">
        <v>2357</v>
      </c>
      <c r="E581" s="11" t="s">
        <v>2358</v>
      </c>
      <c r="F581" s="11" t="s">
        <v>2366</v>
      </c>
      <c r="G581" s="12" t="s">
        <v>59</v>
      </c>
      <c r="H581" s="12" t="s">
        <v>59</v>
      </c>
      <c r="I581" s="12" t="s">
        <v>508</v>
      </c>
      <c r="J581" s="11" t="s">
        <v>2360</v>
      </c>
      <c r="K581" s="12" t="s">
        <v>62</v>
      </c>
      <c r="L581" s="12" t="s">
        <v>510</v>
      </c>
    </row>
    <row r="582" spans="1:12" ht="26.4" x14ac:dyDescent="0.3">
      <c r="A582" s="10" t="s">
        <v>2367</v>
      </c>
      <c r="B582" s="11" t="s">
        <v>15</v>
      </c>
      <c r="C582" s="11" t="s">
        <v>2365</v>
      </c>
      <c r="D582" s="11" t="s">
        <v>2357</v>
      </c>
      <c r="E582" s="11" t="s">
        <v>2368</v>
      </c>
      <c r="F582" s="11" t="s">
        <v>2366</v>
      </c>
      <c r="G582" s="12" t="s">
        <v>59</v>
      </c>
      <c r="H582" s="12" t="s">
        <v>59</v>
      </c>
      <c r="I582" s="12" t="s">
        <v>508</v>
      </c>
      <c r="J582" s="11" t="s">
        <v>2360</v>
      </c>
      <c r="K582" s="12" t="s">
        <v>62</v>
      </c>
      <c r="L582" s="12" t="s">
        <v>510</v>
      </c>
    </row>
    <row r="583" spans="1:12" ht="26.4" x14ac:dyDescent="0.3">
      <c r="A583" s="10" t="s">
        <v>2369</v>
      </c>
      <c r="B583" s="11" t="s">
        <v>15</v>
      </c>
      <c r="C583" s="11" t="s">
        <v>2370</v>
      </c>
      <c r="D583" s="11" t="s">
        <v>2371</v>
      </c>
      <c r="E583" s="11" t="s">
        <v>2372</v>
      </c>
      <c r="F583" s="11" t="s">
        <v>2373</v>
      </c>
      <c r="G583" s="12" t="s">
        <v>59</v>
      </c>
      <c r="H583" s="12" t="s">
        <v>59</v>
      </c>
      <c r="I583" s="12" t="s">
        <v>508</v>
      </c>
      <c r="J583" s="11" t="s">
        <v>2374</v>
      </c>
      <c r="K583" s="12" t="s">
        <v>62</v>
      </c>
      <c r="L583" s="12" t="s">
        <v>510</v>
      </c>
    </row>
    <row r="584" spans="1:12" ht="26.4" x14ac:dyDescent="0.3">
      <c r="A584" s="10" t="s">
        <v>2375</v>
      </c>
      <c r="B584" s="11" t="s">
        <v>15</v>
      </c>
      <c r="C584" s="11" t="s">
        <v>2370</v>
      </c>
      <c r="D584" s="11" t="s">
        <v>2371</v>
      </c>
      <c r="E584" s="11" t="s">
        <v>2376</v>
      </c>
      <c r="F584" s="11" t="s">
        <v>2373</v>
      </c>
      <c r="G584" s="12" t="s">
        <v>59</v>
      </c>
      <c r="H584" s="12" t="s">
        <v>59</v>
      </c>
      <c r="I584" s="12" t="s">
        <v>508</v>
      </c>
      <c r="J584" s="11" t="s">
        <v>2374</v>
      </c>
      <c r="K584" s="12" t="s">
        <v>62</v>
      </c>
      <c r="L584" s="12" t="s">
        <v>510</v>
      </c>
    </row>
    <row r="585" spans="1:12" x14ac:dyDescent="0.3">
      <c r="A585" s="10" t="s">
        <v>2377</v>
      </c>
      <c r="B585" s="11" t="s">
        <v>15</v>
      </c>
      <c r="C585" s="11" t="s">
        <v>2378</v>
      </c>
      <c r="D585" s="11" t="s">
        <v>2379</v>
      </c>
      <c r="E585" s="11" t="s">
        <v>2380</v>
      </c>
      <c r="F585" s="11" t="s">
        <v>2381</v>
      </c>
      <c r="G585" s="12" t="s">
        <v>59</v>
      </c>
      <c r="H585" s="12" t="s">
        <v>59</v>
      </c>
      <c r="I585" s="12" t="s">
        <v>508</v>
      </c>
      <c r="J585" s="11" t="s">
        <v>2382</v>
      </c>
      <c r="K585" s="12" t="s">
        <v>62</v>
      </c>
      <c r="L585" s="12" t="s">
        <v>510</v>
      </c>
    </row>
    <row r="586" spans="1:12" x14ac:dyDescent="0.3">
      <c r="A586" s="10" t="s">
        <v>2383</v>
      </c>
      <c r="B586" s="11" t="s">
        <v>15</v>
      </c>
      <c r="C586" s="11" t="s">
        <v>2378</v>
      </c>
      <c r="D586" s="11" t="s">
        <v>2379</v>
      </c>
      <c r="E586" s="11" t="s">
        <v>2384</v>
      </c>
      <c r="F586" s="11" t="s">
        <v>2381</v>
      </c>
      <c r="G586" s="12" t="s">
        <v>59</v>
      </c>
      <c r="H586" s="12" t="s">
        <v>59</v>
      </c>
      <c r="I586" s="12" t="s">
        <v>508</v>
      </c>
      <c r="J586" s="11" t="s">
        <v>2382</v>
      </c>
      <c r="K586" s="12" t="s">
        <v>62</v>
      </c>
      <c r="L586" s="12" t="s">
        <v>510</v>
      </c>
    </row>
    <row r="587" spans="1:12" x14ac:dyDescent="0.3">
      <c r="A587" s="10" t="s">
        <v>2385</v>
      </c>
      <c r="B587" s="11" t="s">
        <v>15</v>
      </c>
      <c r="C587" s="11" t="s">
        <v>2378</v>
      </c>
      <c r="D587" s="11" t="s">
        <v>2379</v>
      </c>
      <c r="E587" s="11" t="s">
        <v>2386</v>
      </c>
      <c r="F587" s="11" t="s">
        <v>2381</v>
      </c>
      <c r="G587" s="12" t="s">
        <v>59</v>
      </c>
      <c r="H587" s="12" t="s">
        <v>59</v>
      </c>
      <c r="I587" s="12" t="s">
        <v>508</v>
      </c>
      <c r="J587" s="11" t="s">
        <v>2382</v>
      </c>
      <c r="K587" s="12" t="s">
        <v>62</v>
      </c>
      <c r="L587" s="12" t="s">
        <v>510</v>
      </c>
    </row>
    <row r="588" spans="1:12" ht="26.4" x14ac:dyDescent="0.3">
      <c r="A588" s="10" t="s">
        <v>2387</v>
      </c>
      <c r="B588" s="11" t="s">
        <v>15</v>
      </c>
      <c r="C588" s="11" t="s">
        <v>2388</v>
      </c>
      <c r="D588" s="11" t="s">
        <v>2389</v>
      </c>
      <c r="E588" s="11" t="s">
        <v>2390</v>
      </c>
      <c r="F588" s="11" t="s">
        <v>2391</v>
      </c>
      <c r="G588" s="12" t="s">
        <v>59</v>
      </c>
      <c r="H588" s="12" t="s">
        <v>59</v>
      </c>
      <c r="I588" s="12" t="s">
        <v>508</v>
      </c>
      <c r="J588" s="11" t="s">
        <v>2392</v>
      </c>
      <c r="K588" s="12" t="s">
        <v>62</v>
      </c>
      <c r="L588" s="12" t="s">
        <v>510</v>
      </c>
    </row>
    <row r="589" spans="1:12" ht="26.4" x14ac:dyDescent="0.3">
      <c r="A589" s="10" t="s">
        <v>2393</v>
      </c>
      <c r="B589" s="11" t="s">
        <v>15</v>
      </c>
      <c r="C589" s="11" t="s">
        <v>2394</v>
      </c>
      <c r="D589" s="11" t="s">
        <v>2389</v>
      </c>
      <c r="E589" s="11" t="s">
        <v>2395</v>
      </c>
      <c r="F589" s="11" t="s">
        <v>2396</v>
      </c>
      <c r="G589" s="12" t="s">
        <v>59</v>
      </c>
      <c r="H589" s="12" t="s">
        <v>59</v>
      </c>
      <c r="I589" s="12" t="s">
        <v>508</v>
      </c>
      <c r="J589" s="11" t="s">
        <v>2392</v>
      </c>
      <c r="K589" s="12" t="s">
        <v>62</v>
      </c>
      <c r="L589" s="12" t="s">
        <v>510</v>
      </c>
    </row>
    <row r="590" spans="1:12" ht="26.4" x14ac:dyDescent="0.3">
      <c r="A590" s="10" t="s">
        <v>2397</v>
      </c>
      <c r="B590" s="11" t="s">
        <v>15</v>
      </c>
      <c r="C590" s="11" t="s">
        <v>2398</v>
      </c>
      <c r="D590" s="11" t="s">
        <v>2389</v>
      </c>
      <c r="E590" s="11" t="s">
        <v>2399</v>
      </c>
      <c r="F590" s="11" t="s">
        <v>2400</v>
      </c>
      <c r="G590" s="12" t="s">
        <v>59</v>
      </c>
      <c r="H590" s="12" t="s">
        <v>59</v>
      </c>
      <c r="I590" s="12" t="s">
        <v>508</v>
      </c>
      <c r="J590" s="11" t="s">
        <v>2392</v>
      </c>
      <c r="K590" s="12" t="s">
        <v>62</v>
      </c>
      <c r="L590" s="12" t="s">
        <v>510</v>
      </c>
    </row>
    <row r="591" spans="1:12" ht="26.4" x14ac:dyDescent="0.3">
      <c r="A591" s="10" t="s">
        <v>2401</v>
      </c>
      <c r="B591" s="11" t="s">
        <v>15</v>
      </c>
      <c r="C591" s="11" t="s">
        <v>2402</v>
      </c>
      <c r="D591" s="11" t="s">
        <v>2389</v>
      </c>
      <c r="E591" s="11" t="s">
        <v>2403</v>
      </c>
      <c r="F591" s="11" t="s">
        <v>2404</v>
      </c>
      <c r="G591" s="12" t="s">
        <v>59</v>
      </c>
      <c r="H591" s="12" t="s">
        <v>59</v>
      </c>
      <c r="I591" s="12" t="s">
        <v>508</v>
      </c>
      <c r="J591" s="11" t="s">
        <v>2392</v>
      </c>
      <c r="K591" s="12" t="s">
        <v>62</v>
      </c>
      <c r="L591" s="12" t="s">
        <v>510</v>
      </c>
    </row>
    <row r="592" spans="1:12" ht="39.6" x14ac:dyDescent="0.3">
      <c r="A592" s="10" t="s">
        <v>2405</v>
      </c>
      <c r="B592" s="11" t="s">
        <v>15</v>
      </c>
      <c r="C592" s="11" t="s">
        <v>2406</v>
      </c>
      <c r="D592" s="11" t="s">
        <v>2407</v>
      </c>
      <c r="E592" s="11" t="s">
        <v>2408</v>
      </c>
      <c r="F592" s="11" t="s">
        <v>2409</v>
      </c>
      <c r="G592" s="12" t="s">
        <v>59</v>
      </c>
      <c r="H592" s="12" t="s">
        <v>59</v>
      </c>
      <c r="I592" s="12" t="s">
        <v>508</v>
      </c>
      <c r="J592" s="11" t="s">
        <v>2410</v>
      </c>
      <c r="K592" s="12" t="s">
        <v>62</v>
      </c>
      <c r="L592" s="12" t="s">
        <v>510</v>
      </c>
    </row>
    <row r="593" spans="1:12" ht="39.6" x14ac:dyDescent="0.3">
      <c r="A593" s="10" t="s">
        <v>2411</v>
      </c>
      <c r="B593" s="11" t="s">
        <v>15</v>
      </c>
      <c r="C593" s="11" t="s">
        <v>2412</v>
      </c>
      <c r="D593" s="11" t="s">
        <v>2407</v>
      </c>
      <c r="E593" s="11" t="s">
        <v>2413</v>
      </c>
      <c r="F593" s="11" t="s">
        <v>2409</v>
      </c>
      <c r="G593" s="12" t="s">
        <v>59</v>
      </c>
      <c r="H593" s="12" t="s">
        <v>59</v>
      </c>
      <c r="I593" s="12" t="s">
        <v>508</v>
      </c>
      <c r="J593" s="11" t="s">
        <v>2410</v>
      </c>
      <c r="K593" s="12" t="s">
        <v>62</v>
      </c>
      <c r="L593" s="12" t="s">
        <v>510</v>
      </c>
    </row>
    <row r="594" spans="1:12" ht="39.6" x14ac:dyDescent="0.3">
      <c r="A594" s="10" t="s">
        <v>2414</v>
      </c>
      <c r="B594" s="11" t="s">
        <v>15</v>
      </c>
      <c r="C594" s="11" t="s">
        <v>2415</v>
      </c>
      <c r="D594" s="11" t="s">
        <v>2407</v>
      </c>
      <c r="E594" s="11" t="s">
        <v>2416</v>
      </c>
      <c r="F594" s="11" t="s">
        <v>2417</v>
      </c>
      <c r="G594" s="12" t="s">
        <v>59</v>
      </c>
      <c r="H594" s="12" t="s">
        <v>59</v>
      </c>
      <c r="I594" s="12" t="s">
        <v>508</v>
      </c>
      <c r="J594" s="11" t="s">
        <v>2410</v>
      </c>
      <c r="K594" s="12" t="s">
        <v>62</v>
      </c>
      <c r="L594" s="12" t="s">
        <v>510</v>
      </c>
    </row>
    <row r="595" spans="1:12" ht="39.6" x14ac:dyDescent="0.3">
      <c r="A595" s="10" t="s">
        <v>2418</v>
      </c>
      <c r="B595" s="11" t="s">
        <v>15</v>
      </c>
      <c r="C595" s="11" t="s">
        <v>2419</v>
      </c>
      <c r="D595" s="11" t="s">
        <v>2407</v>
      </c>
      <c r="E595" s="11" t="s">
        <v>2420</v>
      </c>
      <c r="F595" s="11" t="s">
        <v>2421</v>
      </c>
      <c r="G595" s="12" t="s">
        <v>59</v>
      </c>
      <c r="H595" s="12" t="s">
        <v>59</v>
      </c>
      <c r="I595" s="12" t="s">
        <v>508</v>
      </c>
      <c r="J595" s="11" t="s">
        <v>2410</v>
      </c>
      <c r="K595" s="12" t="s">
        <v>62</v>
      </c>
      <c r="L595" s="12" t="s">
        <v>510</v>
      </c>
    </row>
    <row r="596" spans="1:12" ht="39.6" x14ac:dyDescent="0.3">
      <c r="A596" s="10" t="s">
        <v>2422</v>
      </c>
      <c r="B596" s="11" t="s">
        <v>15</v>
      </c>
      <c r="C596" s="11" t="s">
        <v>2423</v>
      </c>
      <c r="D596" s="11" t="s">
        <v>2407</v>
      </c>
      <c r="E596" s="11" t="s">
        <v>2424</v>
      </c>
      <c r="F596" s="11" t="s">
        <v>2425</v>
      </c>
      <c r="G596" s="12" t="s">
        <v>59</v>
      </c>
      <c r="H596" s="12" t="s">
        <v>59</v>
      </c>
      <c r="I596" s="12" t="s">
        <v>508</v>
      </c>
      <c r="J596" s="11" t="s">
        <v>2410</v>
      </c>
      <c r="K596" s="12" t="s">
        <v>62</v>
      </c>
      <c r="L596" s="12" t="s">
        <v>510</v>
      </c>
    </row>
    <row r="597" spans="1:12" ht="39.6" x14ac:dyDescent="0.3">
      <c r="A597" s="10" t="s">
        <v>2426</v>
      </c>
      <c r="B597" s="11" t="s">
        <v>15</v>
      </c>
      <c r="C597" s="11" t="s">
        <v>2427</v>
      </c>
      <c r="D597" s="11" t="s">
        <v>2407</v>
      </c>
      <c r="E597" s="11" t="s">
        <v>2428</v>
      </c>
      <c r="F597" s="11" t="s">
        <v>2425</v>
      </c>
      <c r="G597" s="12" t="s">
        <v>59</v>
      </c>
      <c r="H597" s="12" t="s">
        <v>59</v>
      </c>
      <c r="I597" s="12" t="s">
        <v>508</v>
      </c>
      <c r="J597" s="11" t="s">
        <v>2410</v>
      </c>
      <c r="K597" s="12" t="s">
        <v>62</v>
      </c>
      <c r="L597" s="12" t="s">
        <v>510</v>
      </c>
    </row>
    <row r="598" spans="1:12" ht="39.6" x14ac:dyDescent="0.3">
      <c r="A598" s="10" t="s">
        <v>2429</v>
      </c>
      <c r="B598" s="11" t="s">
        <v>15</v>
      </c>
      <c r="C598" s="11" t="s">
        <v>2430</v>
      </c>
      <c r="D598" s="11" t="s">
        <v>2407</v>
      </c>
      <c r="E598" s="11" t="s">
        <v>2431</v>
      </c>
      <c r="F598" s="11" t="s">
        <v>2432</v>
      </c>
      <c r="G598" s="12" t="s">
        <v>59</v>
      </c>
      <c r="H598" s="12" t="s">
        <v>59</v>
      </c>
      <c r="I598" s="12" t="s">
        <v>508</v>
      </c>
      <c r="J598" s="11" t="s">
        <v>2410</v>
      </c>
      <c r="K598" s="12" t="s">
        <v>62</v>
      </c>
      <c r="L598" s="12" t="s">
        <v>510</v>
      </c>
    </row>
    <row r="599" spans="1:12" ht="39.6" x14ac:dyDescent="0.3">
      <c r="A599" s="10" t="s">
        <v>2433</v>
      </c>
      <c r="B599" s="11" t="s">
        <v>15</v>
      </c>
      <c r="C599" s="11" t="s">
        <v>2434</v>
      </c>
      <c r="D599" s="11" t="s">
        <v>2407</v>
      </c>
      <c r="E599" s="11" t="s">
        <v>2435</v>
      </c>
      <c r="F599" s="11" t="s">
        <v>2436</v>
      </c>
      <c r="G599" s="12" t="s">
        <v>59</v>
      </c>
      <c r="H599" s="12" t="s">
        <v>59</v>
      </c>
      <c r="I599" s="12" t="s">
        <v>508</v>
      </c>
      <c r="J599" s="11" t="s">
        <v>2410</v>
      </c>
      <c r="K599" s="12" t="s">
        <v>62</v>
      </c>
      <c r="L599" s="12" t="s">
        <v>510</v>
      </c>
    </row>
    <row r="600" spans="1:12" ht="39.6" x14ac:dyDescent="0.3">
      <c r="A600" s="10" t="s">
        <v>2437</v>
      </c>
      <c r="B600" s="11" t="s">
        <v>15</v>
      </c>
      <c r="C600" s="11" t="s">
        <v>2438</v>
      </c>
      <c r="D600" s="11" t="s">
        <v>2407</v>
      </c>
      <c r="E600" s="11" t="s">
        <v>2439</v>
      </c>
      <c r="F600" s="11" t="s">
        <v>2436</v>
      </c>
      <c r="G600" s="12" t="s">
        <v>59</v>
      </c>
      <c r="H600" s="12" t="s">
        <v>59</v>
      </c>
      <c r="I600" s="12" t="s">
        <v>508</v>
      </c>
      <c r="J600" s="11" t="s">
        <v>2410</v>
      </c>
      <c r="K600" s="12" t="s">
        <v>62</v>
      </c>
      <c r="L600" s="12" t="s">
        <v>510</v>
      </c>
    </row>
    <row r="601" spans="1:12" ht="39.6" x14ac:dyDescent="0.3">
      <c r="A601" s="10" t="s">
        <v>2440</v>
      </c>
      <c r="B601" s="11" t="s">
        <v>15</v>
      </c>
      <c r="C601" s="11" t="s">
        <v>2441</v>
      </c>
      <c r="D601" s="11" t="s">
        <v>2407</v>
      </c>
      <c r="E601" s="11" t="s">
        <v>2442</v>
      </c>
      <c r="F601" s="11" t="s">
        <v>2436</v>
      </c>
      <c r="G601" s="12" t="s">
        <v>59</v>
      </c>
      <c r="H601" s="12" t="s">
        <v>59</v>
      </c>
      <c r="I601" s="12" t="s">
        <v>508</v>
      </c>
      <c r="J601" s="11" t="s">
        <v>2410</v>
      </c>
      <c r="K601" s="12" t="s">
        <v>62</v>
      </c>
      <c r="L601" s="12" t="s">
        <v>510</v>
      </c>
    </row>
    <row r="602" spans="1:12" ht="39.6" x14ac:dyDescent="0.3">
      <c r="A602" s="10" t="s">
        <v>2443</v>
      </c>
      <c r="B602" s="11" t="s">
        <v>15</v>
      </c>
      <c r="C602" s="11" t="s">
        <v>2444</v>
      </c>
      <c r="D602" s="11" t="s">
        <v>2407</v>
      </c>
      <c r="E602" s="11" t="s">
        <v>2445</v>
      </c>
      <c r="F602" s="11" t="s">
        <v>2446</v>
      </c>
      <c r="G602" s="12" t="s">
        <v>59</v>
      </c>
      <c r="H602" s="12" t="s">
        <v>59</v>
      </c>
      <c r="I602" s="12" t="s">
        <v>508</v>
      </c>
      <c r="J602" s="11" t="s">
        <v>2410</v>
      </c>
      <c r="K602" s="12" t="s">
        <v>62</v>
      </c>
      <c r="L602" s="12" t="s">
        <v>510</v>
      </c>
    </row>
    <row r="603" spans="1:12" ht="39.6" x14ac:dyDescent="0.3">
      <c r="A603" s="10" t="s">
        <v>2447</v>
      </c>
      <c r="B603" s="11" t="s">
        <v>15</v>
      </c>
      <c r="C603" s="11" t="s">
        <v>2448</v>
      </c>
      <c r="D603" s="11" t="s">
        <v>2407</v>
      </c>
      <c r="E603" s="11" t="s">
        <v>2449</v>
      </c>
      <c r="F603" s="11" t="s">
        <v>2450</v>
      </c>
      <c r="G603" s="12" t="s">
        <v>59</v>
      </c>
      <c r="H603" s="12" t="s">
        <v>59</v>
      </c>
      <c r="I603" s="12" t="s">
        <v>508</v>
      </c>
      <c r="J603" s="11" t="s">
        <v>2410</v>
      </c>
      <c r="K603" s="12" t="s">
        <v>62</v>
      </c>
      <c r="L603" s="12" t="s">
        <v>510</v>
      </c>
    </row>
    <row r="604" spans="1:12" ht="39.6" x14ac:dyDescent="0.3">
      <c r="A604" s="10" t="s">
        <v>2451</v>
      </c>
      <c r="B604" s="11" t="s">
        <v>15</v>
      </c>
      <c r="C604" s="11" t="s">
        <v>2452</v>
      </c>
      <c r="D604" s="11" t="s">
        <v>2407</v>
      </c>
      <c r="E604" s="11" t="s">
        <v>2453</v>
      </c>
      <c r="F604" s="11" t="s">
        <v>2454</v>
      </c>
      <c r="G604" s="12" t="s">
        <v>59</v>
      </c>
      <c r="H604" s="12" t="s">
        <v>59</v>
      </c>
      <c r="I604" s="12" t="s">
        <v>508</v>
      </c>
      <c r="J604" s="11" t="s">
        <v>2410</v>
      </c>
      <c r="K604" s="12" t="s">
        <v>62</v>
      </c>
      <c r="L604" s="12" t="s">
        <v>510</v>
      </c>
    </row>
    <row r="605" spans="1:12" ht="39.6" x14ac:dyDescent="0.3">
      <c r="A605" s="10" t="s">
        <v>2455</v>
      </c>
      <c r="B605" s="11" t="s">
        <v>15</v>
      </c>
      <c r="C605" s="11" t="s">
        <v>2456</v>
      </c>
      <c r="D605" s="11" t="s">
        <v>2407</v>
      </c>
      <c r="E605" s="11" t="s">
        <v>2457</v>
      </c>
      <c r="F605" s="11" t="s">
        <v>2458</v>
      </c>
      <c r="G605" s="12" t="s">
        <v>59</v>
      </c>
      <c r="H605" s="12" t="s">
        <v>59</v>
      </c>
      <c r="I605" s="12" t="s">
        <v>508</v>
      </c>
      <c r="J605" s="11" t="s">
        <v>2410</v>
      </c>
      <c r="K605" s="12" t="s">
        <v>62</v>
      </c>
      <c r="L605" s="12" t="s">
        <v>510</v>
      </c>
    </row>
    <row r="606" spans="1:12" ht="39.6" x14ac:dyDescent="0.3">
      <c r="A606" s="10" t="s">
        <v>2459</v>
      </c>
      <c r="B606" s="11" t="s">
        <v>15</v>
      </c>
      <c r="C606" s="11" t="s">
        <v>2460</v>
      </c>
      <c r="D606" s="11" t="s">
        <v>2407</v>
      </c>
      <c r="E606" s="11" t="s">
        <v>2461</v>
      </c>
      <c r="F606" s="11" t="s">
        <v>2462</v>
      </c>
      <c r="G606" s="12" t="s">
        <v>59</v>
      </c>
      <c r="H606" s="12" t="s">
        <v>59</v>
      </c>
      <c r="I606" s="12" t="s">
        <v>508</v>
      </c>
      <c r="J606" s="11" t="s">
        <v>2410</v>
      </c>
      <c r="K606" s="12" t="s">
        <v>62</v>
      </c>
      <c r="L606" s="12" t="s">
        <v>510</v>
      </c>
    </row>
    <row r="607" spans="1:12" ht="39.6" x14ac:dyDescent="0.3">
      <c r="A607" s="10" t="s">
        <v>2463</v>
      </c>
      <c r="B607" s="11" t="s">
        <v>15</v>
      </c>
      <c r="C607" s="11" t="s">
        <v>2464</v>
      </c>
      <c r="D607" s="11" t="s">
        <v>2407</v>
      </c>
      <c r="E607" s="11" t="s">
        <v>2465</v>
      </c>
      <c r="F607" s="11" t="s">
        <v>2466</v>
      </c>
      <c r="G607" s="12" t="s">
        <v>59</v>
      </c>
      <c r="H607" s="12" t="s">
        <v>59</v>
      </c>
      <c r="I607" s="12" t="s">
        <v>508</v>
      </c>
      <c r="J607" s="11" t="s">
        <v>2410</v>
      </c>
      <c r="K607" s="12" t="s">
        <v>62</v>
      </c>
      <c r="L607" s="12" t="s">
        <v>510</v>
      </c>
    </row>
    <row r="608" spans="1:12" ht="39.6" x14ac:dyDescent="0.3">
      <c r="A608" s="10" t="s">
        <v>2467</v>
      </c>
      <c r="B608" s="11" t="s">
        <v>15</v>
      </c>
      <c r="C608" s="11" t="s">
        <v>2468</v>
      </c>
      <c r="D608" s="11" t="s">
        <v>2407</v>
      </c>
      <c r="E608" s="11" t="s">
        <v>2469</v>
      </c>
      <c r="F608" s="11" t="s">
        <v>2470</v>
      </c>
      <c r="G608" s="12" t="s">
        <v>59</v>
      </c>
      <c r="H608" s="12" t="s">
        <v>59</v>
      </c>
      <c r="I608" s="12" t="s">
        <v>508</v>
      </c>
      <c r="J608" s="11" t="s">
        <v>2410</v>
      </c>
      <c r="K608" s="12" t="s">
        <v>62</v>
      </c>
      <c r="L608" s="12" t="s">
        <v>510</v>
      </c>
    </row>
    <row r="609" spans="1:12" ht="39.6" x14ac:dyDescent="0.3">
      <c r="A609" s="10" t="s">
        <v>2471</v>
      </c>
      <c r="B609" s="11" t="s">
        <v>15</v>
      </c>
      <c r="C609" s="11" t="s">
        <v>2472</v>
      </c>
      <c r="D609" s="11" t="s">
        <v>2407</v>
      </c>
      <c r="E609" s="11" t="s">
        <v>2473</v>
      </c>
      <c r="F609" s="11" t="s">
        <v>2474</v>
      </c>
      <c r="G609" s="12" t="s">
        <v>59</v>
      </c>
      <c r="H609" s="12" t="s">
        <v>59</v>
      </c>
      <c r="I609" s="12" t="s">
        <v>508</v>
      </c>
      <c r="J609" s="11" t="s">
        <v>2410</v>
      </c>
      <c r="K609" s="12" t="s">
        <v>62</v>
      </c>
      <c r="L609" s="12" t="s">
        <v>510</v>
      </c>
    </row>
    <row r="610" spans="1:12" ht="39.6" x14ac:dyDescent="0.3">
      <c r="A610" s="10" t="s">
        <v>2475</v>
      </c>
      <c r="B610" s="11" t="s">
        <v>15</v>
      </c>
      <c r="C610" s="11" t="s">
        <v>2476</v>
      </c>
      <c r="D610" s="11" t="s">
        <v>2407</v>
      </c>
      <c r="E610" s="11" t="s">
        <v>2477</v>
      </c>
      <c r="F610" s="11" t="s">
        <v>2478</v>
      </c>
      <c r="G610" s="12" t="s">
        <v>59</v>
      </c>
      <c r="H610" s="12" t="s">
        <v>59</v>
      </c>
      <c r="I610" s="12" t="s">
        <v>508</v>
      </c>
      <c r="J610" s="11" t="s">
        <v>2410</v>
      </c>
      <c r="K610" s="12" t="s">
        <v>62</v>
      </c>
      <c r="L610" s="12" t="s">
        <v>510</v>
      </c>
    </row>
    <row r="611" spans="1:12" ht="39.6" x14ac:dyDescent="0.3">
      <c r="A611" s="10" t="s">
        <v>2479</v>
      </c>
      <c r="B611" s="11" t="s">
        <v>15</v>
      </c>
      <c r="C611" s="11" t="s">
        <v>2480</v>
      </c>
      <c r="D611" s="11" t="s">
        <v>2407</v>
      </c>
      <c r="E611" s="11" t="s">
        <v>2481</v>
      </c>
      <c r="F611" s="11" t="s">
        <v>2482</v>
      </c>
      <c r="G611" s="12" t="s">
        <v>59</v>
      </c>
      <c r="H611" s="12" t="s">
        <v>59</v>
      </c>
      <c r="I611" s="12" t="s">
        <v>508</v>
      </c>
      <c r="J611" s="11" t="s">
        <v>2410</v>
      </c>
      <c r="K611" s="12" t="s">
        <v>62</v>
      </c>
      <c r="L611" s="12" t="s">
        <v>510</v>
      </c>
    </row>
    <row r="612" spans="1:12" ht="39.6" x14ac:dyDescent="0.3">
      <c r="A612" s="10" t="s">
        <v>2483</v>
      </c>
      <c r="B612" s="11" t="s">
        <v>15</v>
      </c>
      <c r="C612" s="11" t="s">
        <v>2484</v>
      </c>
      <c r="D612" s="11" t="s">
        <v>2407</v>
      </c>
      <c r="E612" s="11" t="s">
        <v>2485</v>
      </c>
      <c r="F612" s="11" t="s">
        <v>2486</v>
      </c>
      <c r="G612" s="12" t="s">
        <v>59</v>
      </c>
      <c r="H612" s="12" t="s">
        <v>59</v>
      </c>
      <c r="I612" s="12" t="s">
        <v>508</v>
      </c>
      <c r="J612" s="11" t="s">
        <v>2410</v>
      </c>
      <c r="K612" s="12" t="s">
        <v>62</v>
      </c>
      <c r="L612" s="12" t="s">
        <v>510</v>
      </c>
    </row>
    <row r="613" spans="1:12" ht="39.6" x14ac:dyDescent="0.3">
      <c r="A613" s="10" t="s">
        <v>2487</v>
      </c>
      <c r="B613" s="11" t="s">
        <v>15</v>
      </c>
      <c r="C613" s="11" t="s">
        <v>2488</v>
      </c>
      <c r="D613" s="11" t="s">
        <v>2407</v>
      </c>
      <c r="E613" s="11" t="s">
        <v>2489</v>
      </c>
      <c r="F613" s="11" t="s">
        <v>2490</v>
      </c>
      <c r="G613" s="12" t="s">
        <v>59</v>
      </c>
      <c r="H613" s="12" t="s">
        <v>59</v>
      </c>
      <c r="I613" s="12" t="s">
        <v>508</v>
      </c>
      <c r="J613" s="11" t="s">
        <v>2410</v>
      </c>
      <c r="K613" s="12" t="s">
        <v>62</v>
      </c>
      <c r="L613" s="12" t="s">
        <v>510</v>
      </c>
    </row>
    <row r="614" spans="1:12" ht="39.6" x14ac:dyDescent="0.3">
      <c r="A614" s="10" t="s">
        <v>2491</v>
      </c>
      <c r="B614" s="11" t="s">
        <v>15</v>
      </c>
      <c r="C614" s="11" t="s">
        <v>2492</v>
      </c>
      <c r="D614" s="11" t="s">
        <v>2407</v>
      </c>
      <c r="E614" s="11" t="s">
        <v>2493</v>
      </c>
      <c r="F614" s="11" t="s">
        <v>2494</v>
      </c>
      <c r="G614" s="12" t="s">
        <v>59</v>
      </c>
      <c r="H614" s="12" t="s">
        <v>59</v>
      </c>
      <c r="I614" s="12" t="s">
        <v>508</v>
      </c>
      <c r="J614" s="11" t="s">
        <v>2410</v>
      </c>
      <c r="K614" s="12" t="s">
        <v>62</v>
      </c>
      <c r="L614" s="12" t="s">
        <v>510</v>
      </c>
    </row>
    <row r="615" spans="1:12" ht="39.6" x14ac:dyDescent="0.3">
      <c r="A615" s="10" t="s">
        <v>2495</v>
      </c>
      <c r="B615" s="11" t="s">
        <v>15</v>
      </c>
      <c r="C615" s="11" t="s">
        <v>2496</v>
      </c>
      <c r="D615" s="11" t="s">
        <v>2407</v>
      </c>
      <c r="E615" s="11" t="s">
        <v>2497</v>
      </c>
      <c r="F615" s="11" t="s">
        <v>2498</v>
      </c>
      <c r="G615" s="12" t="s">
        <v>59</v>
      </c>
      <c r="H615" s="12" t="s">
        <v>59</v>
      </c>
      <c r="I615" s="12" t="s">
        <v>508</v>
      </c>
      <c r="J615" s="11" t="s">
        <v>2410</v>
      </c>
      <c r="K615" s="12" t="s">
        <v>62</v>
      </c>
      <c r="L615" s="12" t="s">
        <v>510</v>
      </c>
    </row>
    <row r="616" spans="1:12" ht="39.6" x14ac:dyDescent="0.3">
      <c r="A616" s="10" t="s">
        <v>2499</v>
      </c>
      <c r="B616" s="11" t="s">
        <v>15</v>
      </c>
      <c r="C616" s="11" t="s">
        <v>2500</v>
      </c>
      <c r="D616" s="11" t="s">
        <v>2407</v>
      </c>
      <c r="E616" s="11" t="s">
        <v>2501</v>
      </c>
      <c r="F616" s="11" t="s">
        <v>2502</v>
      </c>
      <c r="G616" s="12" t="s">
        <v>59</v>
      </c>
      <c r="H616" s="12" t="s">
        <v>59</v>
      </c>
      <c r="I616" s="12" t="s">
        <v>508</v>
      </c>
      <c r="J616" s="11" t="s">
        <v>2410</v>
      </c>
      <c r="K616" s="12" t="s">
        <v>62</v>
      </c>
      <c r="L616" s="12" t="s">
        <v>510</v>
      </c>
    </row>
    <row r="617" spans="1:12" ht="39.6" x14ac:dyDescent="0.3">
      <c r="A617" s="10" t="s">
        <v>2503</v>
      </c>
      <c r="B617" s="11" t="s">
        <v>15</v>
      </c>
      <c r="C617" s="11" t="s">
        <v>2504</v>
      </c>
      <c r="D617" s="11" t="s">
        <v>2407</v>
      </c>
      <c r="E617" s="11" t="s">
        <v>2505</v>
      </c>
      <c r="F617" s="11" t="s">
        <v>2506</v>
      </c>
      <c r="G617" s="12" t="s">
        <v>59</v>
      </c>
      <c r="H617" s="12" t="s">
        <v>59</v>
      </c>
      <c r="I617" s="12" t="s">
        <v>508</v>
      </c>
      <c r="J617" s="11" t="s">
        <v>2410</v>
      </c>
      <c r="K617" s="12" t="s">
        <v>62</v>
      </c>
      <c r="L617" s="12" t="s">
        <v>510</v>
      </c>
    </row>
    <row r="618" spans="1:12" ht="39.6" x14ac:dyDescent="0.3">
      <c r="A618" s="10" t="s">
        <v>2507</v>
      </c>
      <c r="B618" s="11" t="s">
        <v>15</v>
      </c>
      <c r="C618" s="11" t="s">
        <v>2508</v>
      </c>
      <c r="D618" s="11" t="s">
        <v>2407</v>
      </c>
      <c r="E618" s="11" t="s">
        <v>2509</v>
      </c>
      <c r="F618" s="11" t="s">
        <v>2510</v>
      </c>
      <c r="G618" s="12" t="s">
        <v>59</v>
      </c>
      <c r="H618" s="12" t="s">
        <v>59</v>
      </c>
      <c r="I618" s="12" t="s">
        <v>508</v>
      </c>
      <c r="J618" s="11" t="s">
        <v>2410</v>
      </c>
      <c r="K618" s="12" t="s">
        <v>62</v>
      </c>
      <c r="L618" s="12" t="s">
        <v>510</v>
      </c>
    </row>
    <row r="619" spans="1:12" ht="39.6" x14ac:dyDescent="0.3">
      <c r="A619" s="10" t="s">
        <v>2511</v>
      </c>
      <c r="B619" s="11" t="s">
        <v>15</v>
      </c>
      <c r="C619" s="11" t="s">
        <v>2512</v>
      </c>
      <c r="D619" s="11" t="s">
        <v>2407</v>
      </c>
      <c r="E619" s="11" t="s">
        <v>2513</v>
      </c>
      <c r="F619" s="11" t="s">
        <v>2510</v>
      </c>
      <c r="G619" s="12" t="s">
        <v>59</v>
      </c>
      <c r="H619" s="12" t="s">
        <v>59</v>
      </c>
      <c r="I619" s="12" t="s">
        <v>508</v>
      </c>
      <c r="J619" s="11" t="s">
        <v>2410</v>
      </c>
      <c r="K619" s="12" t="s">
        <v>62</v>
      </c>
      <c r="L619" s="12" t="s">
        <v>510</v>
      </c>
    </row>
    <row r="620" spans="1:12" ht="39.6" x14ac:dyDescent="0.3">
      <c r="A620" s="10" t="s">
        <v>2514</v>
      </c>
      <c r="B620" s="11" t="s">
        <v>15</v>
      </c>
      <c r="C620" s="11" t="s">
        <v>2515</v>
      </c>
      <c r="D620" s="11" t="s">
        <v>2407</v>
      </c>
      <c r="E620" s="11" t="s">
        <v>2516</v>
      </c>
      <c r="F620" s="11" t="s">
        <v>2517</v>
      </c>
      <c r="G620" s="12" t="s">
        <v>59</v>
      </c>
      <c r="H620" s="12" t="s">
        <v>59</v>
      </c>
      <c r="I620" s="12" t="s">
        <v>508</v>
      </c>
      <c r="J620" s="11" t="s">
        <v>2410</v>
      </c>
      <c r="K620" s="12" t="s">
        <v>62</v>
      </c>
      <c r="L620" s="12" t="s">
        <v>510</v>
      </c>
    </row>
    <row r="621" spans="1:12" ht="39.6" x14ac:dyDescent="0.3">
      <c r="A621" s="10" t="s">
        <v>2518</v>
      </c>
      <c r="B621" s="11" t="s">
        <v>15</v>
      </c>
      <c r="C621" s="11" t="s">
        <v>2519</v>
      </c>
      <c r="D621" s="11" t="s">
        <v>2407</v>
      </c>
      <c r="E621" s="11" t="s">
        <v>2520</v>
      </c>
      <c r="F621" s="11" t="s">
        <v>2521</v>
      </c>
      <c r="G621" s="12" t="s">
        <v>59</v>
      </c>
      <c r="H621" s="12" t="s">
        <v>59</v>
      </c>
      <c r="I621" s="12" t="s">
        <v>508</v>
      </c>
      <c r="J621" s="11" t="s">
        <v>2410</v>
      </c>
      <c r="K621" s="12" t="s">
        <v>62</v>
      </c>
      <c r="L621" s="12" t="s">
        <v>510</v>
      </c>
    </row>
    <row r="622" spans="1:12" ht="39.6" x14ac:dyDescent="0.3">
      <c r="A622" s="10" t="s">
        <v>2522</v>
      </c>
      <c r="B622" s="11" t="s">
        <v>15</v>
      </c>
      <c r="C622" s="11" t="s">
        <v>2523</v>
      </c>
      <c r="D622" s="11" t="s">
        <v>2407</v>
      </c>
      <c r="E622" s="11" t="s">
        <v>2524</v>
      </c>
      <c r="F622" s="11" t="s">
        <v>2525</v>
      </c>
      <c r="G622" s="12" t="s">
        <v>59</v>
      </c>
      <c r="H622" s="12" t="s">
        <v>59</v>
      </c>
      <c r="I622" s="12" t="s">
        <v>508</v>
      </c>
      <c r="J622" s="11" t="s">
        <v>2410</v>
      </c>
      <c r="K622" s="12" t="s">
        <v>62</v>
      </c>
      <c r="L622" s="12" t="s">
        <v>510</v>
      </c>
    </row>
    <row r="623" spans="1:12" ht="39.6" x14ac:dyDescent="0.3">
      <c r="A623" s="10" t="s">
        <v>2526</v>
      </c>
      <c r="B623" s="11" t="s">
        <v>15</v>
      </c>
      <c r="C623" s="11" t="s">
        <v>2527</v>
      </c>
      <c r="D623" s="11" t="s">
        <v>2407</v>
      </c>
      <c r="E623" s="11" t="s">
        <v>2528</v>
      </c>
      <c r="F623" s="11" t="s">
        <v>2529</v>
      </c>
      <c r="G623" s="12" t="s">
        <v>59</v>
      </c>
      <c r="H623" s="12" t="s">
        <v>59</v>
      </c>
      <c r="I623" s="12" t="s">
        <v>508</v>
      </c>
      <c r="J623" s="11" t="s">
        <v>2410</v>
      </c>
      <c r="K623" s="12" t="s">
        <v>62</v>
      </c>
      <c r="L623" s="12" t="s">
        <v>510</v>
      </c>
    </row>
    <row r="624" spans="1:12" ht="39.6" x14ac:dyDescent="0.3">
      <c r="A624" s="10" t="s">
        <v>2530</v>
      </c>
      <c r="B624" s="11" t="s">
        <v>15</v>
      </c>
      <c r="C624" s="11" t="s">
        <v>2531</v>
      </c>
      <c r="D624" s="11" t="s">
        <v>2407</v>
      </c>
      <c r="E624" s="11" t="s">
        <v>2532</v>
      </c>
      <c r="F624" s="11" t="s">
        <v>2533</v>
      </c>
      <c r="G624" s="12" t="s">
        <v>59</v>
      </c>
      <c r="H624" s="12" t="s">
        <v>59</v>
      </c>
      <c r="I624" s="12" t="s">
        <v>508</v>
      </c>
      <c r="J624" s="11" t="s">
        <v>2410</v>
      </c>
      <c r="K624" s="12" t="s">
        <v>62</v>
      </c>
      <c r="L624" s="12" t="s">
        <v>510</v>
      </c>
    </row>
    <row r="625" spans="1:12" ht="39.6" x14ac:dyDescent="0.3">
      <c r="A625" s="10" t="s">
        <v>2534</v>
      </c>
      <c r="B625" s="11" t="s">
        <v>15</v>
      </c>
      <c r="C625" s="11" t="s">
        <v>2535</v>
      </c>
      <c r="D625" s="11" t="s">
        <v>2407</v>
      </c>
      <c r="E625" s="11" t="s">
        <v>2536</v>
      </c>
      <c r="F625" s="11" t="s">
        <v>2537</v>
      </c>
      <c r="G625" s="12" t="s">
        <v>59</v>
      </c>
      <c r="H625" s="12" t="s">
        <v>59</v>
      </c>
      <c r="I625" s="12" t="s">
        <v>508</v>
      </c>
      <c r="J625" s="11" t="s">
        <v>2410</v>
      </c>
      <c r="K625" s="12" t="s">
        <v>62</v>
      </c>
      <c r="L625" s="12" t="s">
        <v>510</v>
      </c>
    </row>
    <row r="626" spans="1:12" ht="39.6" x14ac:dyDescent="0.3">
      <c r="A626" s="10" t="s">
        <v>2538</v>
      </c>
      <c r="B626" s="11" t="s">
        <v>15</v>
      </c>
      <c r="C626" s="11" t="s">
        <v>2539</v>
      </c>
      <c r="D626" s="11" t="s">
        <v>2407</v>
      </c>
      <c r="E626" s="11" t="s">
        <v>2540</v>
      </c>
      <c r="F626" s="11" t="s">
        <v>2541</v>
      </c>
      <c r="G626" s="12" t="s">
        <v>59</v>
      </c>
      <c r="H626" s="12" t="s">
        <v>59</v>
      </c>
      <c r="I626" s="12" t="s">
        <v>508</v>
      </c>
      <c r="J626" s="11" t="s">
        <v>2410</v>
      </c>
      <c r="K626" s="12" t="s">
        <v>62</v>
      </c>
      <c r="L626" s="12" t="s">
        <v>510</v>
      </c>
    </row>
    <row r="627" spans="1:12" ht="39.6" x14ac:dyDescent="0.3">
      <c r="A627" s="10" t="s">
        <v>2542</v>
      </c>
      <c r="B627" s="11" t="s">
        <v>15</v>
      </c>
      <c r="C627" s="11" t="s">
        <v>2543</v>
      </c>
      <c r="D627" s="11" t="s">
        <v>2407</v>
      </c>
      <c r="E627" s="11" t="s">
        <v>2544</v>
      </c>
      <c r="F627" s="11" t="s">
        <v>2417</v>
      </c>
      <c r="G627" s="12" t="s">
        <v>59</v>
      </c>
      <c r="H627" s="12" t="s">
        <v>59</v>
      </c>
      <c r="I627" s="12" t="s">
        <v>508</v>
      </c>
      <c r="J627" s="11" t="s">
        <v>2410</v>
      </c>
      <c r="K627" s="12" t="s">
        <v>62</v>
      </c>
      <c r="L627" s="12" t="s">
        <v>510</v>
      </c>
    </row>
    <row r="628" spans="1:12" ht="39.6" x14ac:dyDescent="0.3">
      <c r="A628" s="10" t="s">
        <v>2545</v>
      </c>
      <c r="B628" s="11" t="s">
        <v>15</v>
      </c>
      <c r="C628" s="11" t="s">
        <v>2546</v>
      </c>
      <c r="D628" s="11" t="s">
        <v>2407</v>
      </c>
      <c r="E628" s="11" t="s">
        <v>2547</v>
      </c>
      <c r="F628" s="11" t="s">
        <v>2548</v>
      </c>
      <c r="G628" s="12" t="s">
        <v>59</v>
      </c>
      <c r="H628" s="12" t="s">
        <v>59</v>
      </c>
      <c r="I628" s="12" t="s">
        <v>508</v>
      </c>
      <c r="J628" s="11" t="s">
        <v>2410</v>
      </c>
      <c r="K628" s="12" t="s">
        <v>62</v>
      </c>
      <c r="L628" s="12" t="s">
        <v>510</v>
      </c>
    </row>
    <row r="629" spans="1:12" ht="39.6" x14ac:dyDescent="0.3">
      <c r="A629" s="10" t="s">
        <v>2549</v>
      </c>
      <c r="B629" s="11" t="s">
        <v>15</v>
      </c>
      <c r="C629" s="11" t="s">
        <v>2550</v>
      </c>
      <c r="D629" s="11" t="s">
        <v>2407</v>
      </c>
      <c r="E629" s="11" t="s">
        <v>2551</v>
      </c>
      <c r="F629" s="11" t="s">
        <v>2552</v>
      </c>
      <c r="G629" s="12" t="s">
        <v>59</v>
      </c>
      <c r="H629" s="12" t="s">
        <v>59</v>
      </c>
      <c r="I629" s="12" t="s">
        <v>508</v>
      </c>
      <c r="J629" s="11" t="s">
        <v>2410</v>
      </c>
      <c r="K629" s="12" t="s">
        <v>62</v>
      </c>
      <c r="L629" s="12" t="s">
        <v>510</v>
      </c>
    </row>
    <row r="630" spans="1:12" ht="39.6" x14ac:dyDescent="0.3">
      <c r="A630" s="10" t="s">
        <v>2553</v>
      </c>
      <c r="B630" s="11" t="s">
        <v>15</v>
      </c>
      <c r="C630" s="11" t="s">
        <v>2554</v>
      </c>
      <c r="D630" s="11" t="s">
        <v>2407</v>
      </c>
      <c r="E630" s="11" t="s">
        <v>2555</v>
      </c>
      <c r="F630" s="11" t="s">
        <v>2556</v>
      </c>
      <c r="G630" s="12" t="s">
        <v>59</v>
      </c>
      <c r="H630" s="12" t="s">
        <v>59</v>
      </c>
      <c r="I630" s="12" t="s">
        <v>508</v>
      </c>
      <c r="J630" s="11" t="s">
        <v>2410</v>
      </c>
      <c r="K630" s="12" t="s">
        <v>62</v>
      </c>
      <c r="L630" s="12" t="s">
        <v>510</v>
      </c>
    </row>
    <row r="631" spans="1:12" ht="39.6" x14ac:dyDescent="0.3">
      <c r="A631" s="10" t="s">
        <v>2557</v>
      </c>
      <c r="B631" s="11" t="s">
        <v>15</v>
      </c>
      <c r="C631" s="11" t="s">
        <v>2558</v>
      </c>
      <c r="D631" s="11" t="s">
        <v>2407</v>
      </c>
      <c r="E631" s="11" t="s">
        <v>2559</v>
      </c>
      <c r="F631" s="11" t="s">
        <v>2498</v>
      </c>
      <c r="G631" s="12" t="s">
        <v>59</v>
      </c>
      <c r="H631" s="12" t="s">
        <v>59</v>
      </c>
      <c r="I631" s="12" t="s">
        <v>508</v>
      </c>
      <c r="J631" s="11" t="s">
        <v>2410</v>
      </c>
      <c r="K631" s="12" t="s">
        <v>62</v>
      </c>
      <c r="L631" s="12" t="s">
        <v>510</v>
      </c>
    </row>
    <row r="632" spans="1:12" ht="26.4" x14ac:dyDescent="0.3">
      <c r="A632" s="10" t="s">
        <v>2560</v>
      </c>
      <c r="B632" s="11" t="s">
        <v>16</v>
      </c>
      <c r="C632" s="11" t="s">
        <v>2561</v>
      </c>
      <c r="D632" s="11" t="s">
        <v>2562</v>
      </c>
      <c r="E632" s="11" t="s">
        <v>2563</v>
      </c>
      <c r="F632" s="11" t="s">
        <v>1355</v>
      </c>
      <c r="G632" s="12" t="s">
        <v>59</v>
      </c>
      <c r="H632" s="12" t="s">
        <v>59</v>
      </c>
      <c r="I632" s="12" t="s">
        <v>508</v>
      </c>
      <c r="J632" s="11" t="s">
        <v>2564</v>
      </c>
      <c r="K632" s="12" t="s">
        <v>62</v>
      </c>
      <c r="L632" s="12" t="s">
        <v>510</v>
      </c>
    </row>
    <row r="633" spans="1:12" ht="26.4" x14ac:dyDescent="0.3">
      <c r="A633" s="10" t="s">
        <v>2565</v>
      </c>
      <c r="B633" s="11" t="s">
        <v>16</v>
      </c>
      <c r="C633" s="11" t="s">
        <v>2566</v>
      </c>
      <c r="D633" s="11" t="s">
        <v>2562</v>
      </c>
      <c r="E633" s="11" t="s">
        <v>2567</v>
      </c>
      <c r="F633" s="11" t="s">
        <v>1355</v>
      </c>
      <c r="G633" s="12" t="s">
        <v>59</v>
      </c>
      <c r="H633" s="12" t="s">
        <v>59</v>
      </c>
      <c r="I633" s="12" t="s">
        <v>508</v>
      </c>
      <c r="J633" s="11" t="s">
        <v>2564</v>
      </c>
      <c r="K633" s="12" t="s">
        <v>62</v>
      </c>
      <c r="L633" s="12" t="s">
        <v>510</v>
      </c>
    </row>
    <row r="634" spans="1:12" ht="26.4" x14ac:dyDescent="0.3">
      <c r="A634" s="10" t="s">
        <v>2568</v>
      </c>
      <c r="B634" s="11" t="s">
        <v>16</v>
      </c>
      <c r="C634" s="11" t="s">
        <v>2569</v>
      </c>
      <c r="D634" s="11" t="s">
        <v>2562</v>
      </c>
      <c r="E634" s="11" t="s">
        <v>2570</v>
      </c>
      <c r="F634" s="11" t="s">
        <v>1345</v>
      </c>
      <c r="G634" s="12" t="s">
        <v>59</v>
      </c>
      <c r="H634" s="12" t="s">
        <v>59</v>
      </c>
      <c r="I634" s="12" t="s">
        <v>508</v>
      </c>
      <c r="J634" s="11" t="s">
        <v>2564</v>
      </c>
      <c r="K634" s="12" t="s">
        <v>62</v>
      </c>
      <c r="L634" s="12" t="s">
        <v>510</v>
      </c>
    </row>
    <row r="635" spans="1:12" ht="26.4" x14ac:dyDescent="0.3">
      <c r="A635" s="10" t="s">
        <v>2571</v>
      </c>
      <c r="B635" s="11" t="s">
        <v>16</v>
      </c>
      <c r="C635" s="11" t="s">
        <v>2572</v>
      </c>
      <c r="D635" s="11" t="s">
        <v>2562</v>
      </c>
      <c r="E635" s="11" t="s">
        <v>2573</v>
      </c>
      <c r="F635" s="11" t="s">
        <v>1345</v>
      </c>
      <c r="G635" s="12" t="s">
        <v>59</v>
      </c>
      <c r="H635" s="12" t="s">
        <v>59</v>
      </c>
      <c r="I635" s="12" t="s">
        <v>508</v>
      </c>
      <c r="J635" s="11" t="s">
        <v>2564</v>
      </c>
      <c r="K635" s="12" t="s">
        <v>62</v>
      </c>
      <c r="L635" s="12" t="s">
        <v>510</v>
      </c>
    </row>
    <row r="636" spans="1:12" ht="26.4" x14ac:dyDescent="0.3">
      <c r="A636" s="10" t="s">
        <v>2574</v>
      </c>
      <c r="B636" s="11" t="s">
        <v>16</v>
      </c>
      <c r="C636" s="11" t="s">
        <v>2575</v>
      </c>
      <c r="D636" s="11" t="s">
        <v>2562</v>
      </c>
      <c r="E636" s="11" t="s">
        <v>2576</v>
      </c>
      <c r="F636" s="11" t="s">
        <v>1345</v>
      </c>
      <c r="G636" s="12" t="s">
        <v>59</v>
      </c>
      <c r="H636" s="12" t="s">
        <v>59</v>
      </c>
      <c r="I636" s="12" t="s">
        <v>508</v>
      </c>
      <c r="J636" s="11" t="s">
        <v>2564</v>
      </c>
      <c r="K636" s="12" t="s">
        <v>62</v>
      </c>
      <c r="L636" s="12" t="s">
        <v>510</v>
      </c>
    </row>
    <row r="637" spans="1:12" ht="26.4" x14ac:dyDescent="0.3">
      <c r="A637" s="10" t="s">
        <v>2577</v>
      </c>
      <c r="B637" s="11" t="s">
        <v>16</v>
      </c>
      <c r="C637" s="11" t="s">
        <v>2578</v>
      </c>
      <c r="D637" s="11" t="s">
        <v>2579</v>
      </c>
      <c r="E637" s="11" t="s">
        <v>2580</v>
      </c>
      <c r="F637" s="11" t="s">
        <v>1355</v>
      </c>
      <c r="G637" s="12" t="s">
        <v>59</v>
      </c>
      <c r="H637" s="12" t="s">
        <v>59</v>
      </c>
      <c r="I637" s="12" t="s">
        <v>508</v>
      </c>
      <c r="J637" s="11" t="s">
        <v>2581</v>
      </c>
      <c r="K637" s="12" t="s">
        <v>62</v>
      </c>
      <c r="L637" s="12" t="s">
        <v>510</v>
      </c>
    </row>
    <row r="638" spans="1:12" ht="26.4" x14ac:dyDescent="0.3">
      <c r="A638" s="10" t="s">
        <v>2582</v>
      </c>
      <c r="B638" s="11" t="s">
        <v>16</v>
      </c>
      <c r="C638" s="11" t="s">
        <v>2583</v>
      </c>
      <c r="D638" s="11" t="s">
        <v>2579</v>
      </c>
      <c r="E638" s="11" t="s">
        <v>2584</v>
      </c>
      <c r="F638" s="11" t="s">
        <v>1355</v>
      </c>
      <c r="G638" s="12" t="s">
        <v>59</v>
      </c>
      <c r="H638" s="12" t="s">
        <v>59</v>
      </c>
      <c r="I638" s="12" t="s">
        <v>508</v>
      </c>
      <c r="J638" s="11" t="s">
        <v>2581</v>
      </c>
      <c r="K638" s="12" t="s">
        <v>62</v>
      </c>
      <c r="L638" s="12" t="s">
        <v>510</v>
      </c>
    </row>
    <row r="639" spans="1:12" ht="26.4" x14ac:dyDescent="0.3">
      <c r="A639" s="10" t="s">
        <v>2585</v>
      </c>
      <c r="B639" s="11" t="s">
        <v>16</v>
      </c>
      <c r="C639" s="11" t="s">
        <v>2586</v>
      </c>
      <c r="D639" s="11" t="s">
        <v>2579</v>
      </c>
      <c r="E639" s="11" t="s">
        <v>2587</v>
      </c>
      <c r="F639" s="11" t="s">
        <v>1345</v>
      </c>
      <c r="G639" s="12" t="s">
        <v>59</v>
      </c>
      <c r="H639" s="12" t="s">
        <v>59</v>
      </c>
      <c r="I639" s="12" t="s">
        <v>508</v>
      </c>
      <c r="J639" s="11" t="s">
        <v>2581</v>
      </c>
      <c r="K639" s="12" t="s">
        <v>62</v>
      </c>
      <c r="L639" s="12" t="s">
        <v>510</v>
      </c>
    </row>
    <row r="640" spans="1:12" ht="26.4" x14ac:dyDescent="0.3">
      <c r="A640" s="10" t="s">
        <v>2588</v>
      </c>
      <c r="B640" s="11" t="s">
        <v>16</v>
      </c>
      <c r="C640" s="11" t="s">
        <v>2589</v>
      </c>
      <c r="D640" s="11" t="s">
        <v>2579</v>
      </c>
      <c r="E640" s="11" t="s">
        <v>2590</v>
      </c>
      <c r="F640" s="11" t="s">
        <v>1345</v>
      </c>
      <c r="G640" s="12" t="s">
        <v>59</v>
      </c>
      <c r="H640" s="12" t="s">
        <v>59</v>
      </c>
      <c r="I640" s="12" t="s">
        <v>508</v>
      </c>
      <c r="J640" s="11" t="s">
        <v>2581</v>
      </c>
      <c r="K640" s="12" t="s">
        <v>62</v>
      </c>
      <c r="L640" s="12" t="s">
        <v>510</v>
      </c>
    </row>
    <row r="641" spans="1:12" ht="26.4" x14ac:dyDescent="0.3">
      <c r="A641" s="10" t="s">
        <v>2591</v>
      </c>
      <c r="B641" s="11" t="s">
        <v>16</v>
      </c>
      <c r="C641" s="11" t="s">
        <v>2592</v>
      </c>
      <c r="D641" s="11" t="s">
        <v>2579</v>
      </c>
      <c r="E641" s="11" t="s">
        <v>2593</v>
      </c>
      <c r="F641" s="11" t="s">
        <v>1345</v>
      </c>
      <c r="G641" s="12" t="s">
        <v>59</v>
      </c>
      <c r="H641" s="12" t="s">
        <v>59</v>
      </c>
      <c r="I641" s="12" t="s">
        <v>508</v>
      </c>
      <c r="J641" s="11" t="s">
        <v>2581</v>
      </c>
      <c r="K641" s="12" t="s">
        <v>62</v>
      </c>
      <c r="L641" s="12" t="s">
        <v>510</v>
      </c>
    </row>
    <row r="642" spans="1:12" ht="26.4" x14ac:dyDescent="0.3">
      <c r="A642" s="10" t="s">
        <v>2594</v>
      </c>
      <c r="B642" s="11" t="s">
        <v>16</v>
      </c>
      <c r="C642" s="11" t="s">
        <v>2595</v>
      </c>
      <c r="D642" s="11" t="s">
        <v>2596</v>
      </c>
      <c r="E642" s="11" t="s">
        <v>893</v>
      </c>
      <c r="F642" s="11" t="s">
        <v>2597</v>
      </c>
      <c r="G642" s="12" t="s">
        <v>59</v>
      </c>
      <c r="H642" s="12" t="s">
        <v>59</v>
      </c>
      <c r="I642" s="12" t="s">
        <v>508</v>
      </c>
      <c r="J642" s="11" t="s">
        <v>2598</v>
      </c>
      <c r="K642" s="12" t="s">
        <v>62</v>
      </c>
      <c r="L642" s="12" t="s">
        <v>510</v>
      </c>
    </row>
    <row r="643" spans="1:12" ht="26.4" x14ac:dyDescent="0.3">
      <c r="A643" s="10" t="s">
        <v>2599</v>
      </c>
      <c r="B643" s="11" t="s">
        <v>16</v>
      </c>
      <c r="C643" s="11" t="s">
        <v>2595</v>
      </c>
      <c r="D643" s="11" t="s">
        <v>2596</v>
      </c>
      <c r="E643" s="11" t="s">
        <v>897</v>
      </c>
      <c r="F643" s="11" t="s">
        <v>2597</v>
      </c>
      <c r="G643" s="12" t="s">
        <v>59</v>
      </c>
      <c r="H643" s="12" t="s">
        <v>59</v>
      </c>
      <c r="I643" s="12" t="s">
        <v>508</v>
      </c>
      <c r="J643" s="11" t="s">
        <v>2598</v>
      </c>
      <c r="K643" s="12" t="s">
        <v>62</v>
      </c>
      <c r="L643" s="12" t="s">
        <v>510</v>
      </c>
    </row>
    <row r="644" spans="1:12" ht="26.4" x14ac:dyDescent="0.3">
      <c r="A644" s="10" t="s">
        <v>2600</v>
      </c>
      <c r="B644" s="11" t="s">
        <v>16</v>
      </c>
      <c r="C644" s="11" t="s">
        <v>2595</v>
      </c>
      <c r="D644" s="11" t="s">
        <v>2596</v>
      </c>
      <c r="E644" s="11" t="s">
        <v>2601</v>
      </c>
      <c r="F644" s="11" t="s">
        <v>2597</v>
      </c>
      <c r="G644" s="12" t="s">
        <v>59</v>
      </c>
      <c r="H644" s="12" t="s">
        <v>59</v>
      </c>
      <c r="I644" s="12" t="s">
        <v>508</v>
      </c>
      <c r="J644" s="11" t="s">
        <v>2598</v>
      </c>
      <c r="K644" s="12" t="s">
        <v>62</v>
      </c>
      <c r="L644" s="12" t="s">
        <v>510</v>
      </c>
    </row>
    <row r="645" spans="1:12" ht="26.4" x14ac:dyDescent="0.3">
      <c r="A645" s="10" t="s">
        <v>2602</v>
      </c>
      <c r="B645" s="11" t="s">
        <v>16</v>
      </c>
      <c r="C645" s="11" t="s">
        <v>2603</v>
      </c>
      <c r="D645" s="11" t="s">
        <v>2604</v>
      </c>
      <c r="E645" s="11" t="s">
        <v>917</v>
      </c>
      <c r="F645" s="11" t="s">
        <v>2605</v>
      </c>
      <c r="G645" s="12" t="s">
        <v>59</v>
      </c>
      <c r="H645" s="12" t="s">
        <v>59</v>
      </c>
      <c r="I645" s="12" t="s">
        <v>508</v>
      </c>
      <c r="J645" s="11" t="s">
        <v>2606</v>
      </c>
      <c r="K645" s="12" t="s">
        <v>62</v>
      </c>
      <c r="L645" s="12" t="s">
        <v>510</v>
      </c>
    </row>
    <row r="646" spans="1:12" ht="26.4" x14ac:dyDescent="0.3">
      <c r="A646" s="10" t="s">
        <v>2607</v>
      </c>
      <c r="B646" s="11" t="s">
        <v>16</v>
      </c>
      <c r="C646" s="11" t="s">
        <v>2603</v>
      </c>
      <c r="D646" s="11" t="s">
        <v>2604</v>
      </c>
      <c r="E646" s="11" t="s">
        <v>921</v>
      </c>
      <c r="F646" s="11" t="s">
        <v>2605</v>
      </c>
      <c r="G646" s="12" t="s">
        <v>59</v>
      </c>
      <c r="H646" s="12" t="s">
        <v>59</v>
      </c>
      <c r="I646" s="12" t="s">
        <v>508</v>
      </c>
      <c r="J646" s="11" t="s">
        <v>2606</v>
      </c>
      <c r="K646" s="12" t="s">
        <v>62</v>
      </c>
      <c r="L646" s="12" t="s">
        <v>510</v>
      </c>
    </row>
    <row r="647" spans="1:12" ht="26.4" x14ac:dyDescent="0.3">
      <c r="A647" s="10" t="s">
        <v>2608</v>
      </c>
      <c r="B647" s="11" t="s">
        <v>16</v>
      </c>
      <c r="C647" s="11" t="s">
        <v>2603</v>
      </c>
      <c r="D647" s="11" t="s">
        <v>2604</v>
      </c>
      <c r="E647" s="11" t="s">
        <v>2609</v>
      </c>
      <c r="F647" s="11" t="s">
        <v>2605</v>
      </c>
      <c r="G647" s="12" t="s">
        <v>59</v>
      </c>
      <c r="H647" s="12" t="s">
        <v>59</v>
      </c>
      <c r="I647" s="12" t="s">
        <v>508</v>
      </c>
      <c r="J647" s="11" t="s">
        <v>2606</v>
      </c>
      <c r="K647" s="12" t="s">
        <v>62</v>
      </c>
      <c r="L647" s="12" t="s">
        <v>510</v>
      </c>
    </row>
    <row r="648" spans="1:12" ht="26.4" x14ac:dyDescent="0.3">
      <c r="A648" s="10" t="s">
        <v>2610</v>
      </c>
      <c r="B648" s="11" t="s">
        <v>16</v>
      </c>
      <c r="C648" s="11" t="s">
        <v>2611</v>
      </c>
      <c r="D648" s="11" t="s">
        <v>2612</v>
      </c>
      <c r="E648" s="11" t="s">
        <v>2613</v>
      </c>
      <c r="F648" s="11" t="s">
        <v>2614</v>
      </c>
      <c r="G648" s="12" t="s">
        <v>59</v>
      </c>
      <c r="H648" s="12" t="s">
        <v>59</v>
      </c>
      <c r="I648" s="12" t="s">
        <v>508</v>
      </c>
      <c r="J648" s="11" t="s">
        <v>2615</v>
      </c>
      <c r="K648" s="12" t="s">
        <v>62</v>
      </c>
      <c r="L648" s="12" t="s">
        <v>510</v>
      </c>
    </row>
    <row r="649" spans="1:12" ht="26.4" x14ac:dyDescent="0.3">
      <c r="A649" s="10" t="s">
        <v>2616</v>
      </c>
      <c r="B649" s="11" t="s">
        <v>16</v>
      </c>
      <c r="C649" s="11" t="s">
        <v>2611</v>
      </c>
      <c r="D649" s="11" t="s">
        <v>2612</v>
      </c>
      <c r="E649" s="11" t="s">
        <v>2617</v>
      </c>
      <c r="F649" s="11" t="s">
        <v>2614</v>
      </c>
      <c r="G649" s="12" t="s">
        <v>59</v>
      </c>
      <c r="H649" s="12" t="s">
        <v>59</v>
      </c>
      <c r="I649" s="12" t="s">
        <v>508</v>
      </c>
      <c r="J649" s="11" t="s">
        <v>2615</v>
      </c>
      <c r="K649" s="12" t="s">
        <v>62</v>
      </c>
      <c r="L649" s="12" t="s">
        <v>510</v>
      </c>
    </row>
    <row r="650" spans="1:12" ht="26.4" x14ac:dyDescent="0.3">
      <c r="A650" s="10" t="s">
        <v>2618</v>
      </c>
      <c r="B650" s="11" t="s">
        <v>16</v>
      </c>
      <c r="C650" s="11" t="s">
        <v>2611</v>
      </c>
      <c r="D650" s="11" t="s">
        <v>2612</v>
      </c>
      <c r="E650" s="11" t="s">
        <v>2619</v>
      </c>
      <c r="F650" s="11" t="s">
        <v>2614</v>
      </c>
      <c r="G650" s="12" t="s">
        <v>59</v>
      </c>
      <c r="H650" s="12" t="s">
        <v>59</v>
      </c>
      <c r="I650" s="12" t="s">
        <v>508</v>
      </c>
      <c r="J650" s="11" t="s">
        <v>2615</v>
      </c>
      <c r="K650" s="12" t="s">
        <v>62</v>
      </c>
      <c r="L650" s="12" t="s">
        <v>510</v>
      </c>
    </row>
    <row r="651" spans="1:12" ht="26.4" x14ac:dyDescent="0.3">
      <c r="A651" s="10" t="s">
        <v>2620</v>
      </c>
      <c r="B651" s="11" t="s">
        <v>16</v>
      </c>
      <c r="C651" s="11" t="s">
        <v>2621</v>
      </c>
      <c r="D651" s="11" t="s">
        <v>2622</v>
      </c>
      <c r="E651" s="11" t="s">
        <v>2623</v>
      </c>
      <c r="F651" s="11" t="s">
        <v>1355</v>
      </c>
      <c r="G651" s="12" t="s">
        <v>59</v>
      </c>
      <c r="H651" s="12" t="s">
        <v>59</v>
      </c>
      <c r="I651" s="12" t="s">
        <v>508</v>
      </c>
      <c r="J651" s="11" t="s">
        <v>2624</v>
      </c>
      <c r="K651" s="12" t="s">
        <v>62</v>
      </c>
      <c r="L651" s="12" t="s">
        <v>510</v>
      </c>
    </row>
    <row r="652" spans="1:12" ht="26.4" x14ac:dyDescent="0.3">
      <c r="A652" s="10" t="s">
        <v>2625</v>
      </c>
      <c r="B652" s="11" t="s">
        <v>16</v>
      </c>
      <c r="C652" s="11" t="s">
        <v>2626</v>
      </c>
      <c r="D652" s="11" t="s">
        <v>2622</v>
      </c>
      <c r="E652" s="11" t="s">
        <v>2580</v>
      </c>
      <c r="F652" s="11" t="s">
        <v>1355</v>
      </c>
      <c r="G652" s="12" t="s">
        <v>59</v>
      </c>
      <c r="H652" s="12" t="s">
        <v>59</v>
      </c>
      <c r="I652" s="12" t="s">
        <v>508</v>
      </c>
      <c r="J652" s="11" t="s">
        <v>2624</v>
      </c>
      <c r="K652" s="12" t="s">
        <v>62</v>
      </c>
      <c r="L652" s="12" t="s">
        <v>510</v>
      </c>
    </row>
    <row r="653" spans="1:12" ht="26.4" x14ac:dyDescent="0.3">
      <c r="A653" s="10" t="s">
        <v>2627</v>
      </c>
      <c r="B653" s="11" t="s">
        <v>16</v>
      </c>
      <c r="C653" s="11" t="s">
        <v>2628</v>
      </c>
      <c r="D653" s="11" t="s">
        <v>2622</v>
      </c>
      <c r="E653" s="11" t="s">
        <v>2587</v>
      </c>
      <c r="F653" s="11" t="s">
        <v>1355</v>
      </c>
      <c r="G653" s="12" t="s">
        <v>59</v>
      </c>
      <c r="H653" s="12" t="s">
        <v>59</v>
      </c>
      <c r="I653" s="12" t="s">
        <v>508</v>
      </c>
      <c r="J653" s="11" t="s">
        <v>2624</v>
      </c>
      <c r="K653" s="12" t="s">
        <v>62</v>
      </c>
      <c r="L653" s="12" t="s">
        <v>510</v>
      </c>
    </row>
    <row r="654" spans="1:12" ht="26.4" x14ac:dyDescent="0.3">
      <c r="A654" s="10" t="s">
        <v>2629</v>
      </c>
      <c r="B654" s="11" t="s">
        <v>16</v>
      </c>
      <c r="C654" s="11" t="s">
        <v>2630</v>
      </c>
      <c r="D654" s="11" t="s">
        <v>2622</v>
      </c>
      <c r="E654" s="11" t="s">
        <v>2631</v>
      </c>
      <c r="F654" s="11" t="s">
        <v>1345</v>
      </c>
      <c r="G654" s="12" t="s">
        <v>59</v>
      </c>
      <c r="H654" s="12" t="s">
        <v>59</v>
      </c>
      <c r="I654" s="12" t="s">
        <v>508</v>
      </c>
      <c r="J654" s="11" t="s">
        <v>2624</v>
      </c>
      <c r="K654" s="12" t="s">
        <v>62</v>
      </c>
      <c r="L654" s="12" t="s">
        <v>510</v>
      </c>
    </row>
    <row r="655" spans="1:12" ht="26.4" x14ac:dyDescent="0.3">
      <c r="A655" s="10" t="s">
        <v>2632</v>
      </c>
      <c r="B655" s="11" t="s">
        <v>16</v>
      </c>
      <c r="C655" s="11" t="s">
        <v>2633</v>
      </c>
      <c r="D655" s="11" t="s">
        <v>2622</v>
      </c>
      <c r="E655" s="11" t="s">
        <v>2634</v>
      </c>
      <c r="F655" s="11" t="s">
        <v>1345</v>
      </c>
      <c r="G655" s="12" t="s">
        <v>59</v>
      </c>
      <c r="H655" s="12" t="s">
        <v>59</v>
      </c>
      <c r="I655" s="12" t="s">
        <v>508</v>
      </c>
      <c r="J655" s="11" t="s">
        <v>2624</v>
      </c>
      <c r="K655" s="12" t="s">
        <v>62</v>
      </c>
      <c r="L655" s="12" t="s">
        <v>510</v>
      </c>
    </row>
    <row r="656" spans="1:12" ht="26.4" x14ac:dyDescent="0.3">
      <c r="A656" s="10" t="s">
        <v>2635</v>
      </c>
      <c r="B656" s="11" t="s">
        <v>16</v>
      </c>
      <c r="C656" s="11" t="s">
        <v>2636</v>
      </c>
      <c r="D656" s="11" t="s">
        <v>2622</v>
      </c>
      <c r="E656" s="11" t="s">
        <v>2637</v>
      </c>
      <c r="F656" s="11" t="s">
        <v>1345</v>
      </c>
      <c r="G656" s="12" t="s">
        <v>59</v>
      </c>
      <c r="H656" s="12" t="s">
        <v>59</v>
      </c>
      <c r="I656" s="12" t="s">
        <v>508</v>
      </c>
      <c r="J656" s="11" t="s">
        <v>2624</v>
      </c>
      <c r="K656" s="12" t="s">
        <v>62</v>
      </c>
      <c r="L656" s="12" t="s">
        <v>510</v>
      </c>
    </row>
    <row r="657" spans="1:12" ht="26.4" x14ac:dyDescent="0.3">
      <c r="A657" s="10" t="s">
        <v>2638</v>
      </c>
      <c r="B657" s="11" t="s">
        <v>16</v>
      </c>
      <c r="C657" s="11" t="s">
        <v>2639</v>
      </c>
      <c r="D657" s="11" t="s">
        <v>2622</v>
      </c>
      <c r="E657" s="11" t="s">
        <v>2640</v>
      </c>
      <c r="F657" s="11" t="s">
        <v>1345</v>
      </c>
      <c r="G657" s="12" t="s">
        <v>59</v>
      </c>
      <c r="H657" s="12" t="s">
        <v>59</v>
      </c>
      <c r="I657" s="12" t="s">
        <v>508</v>
      </c>
      <c r="J657" s="11" t="s">
        <v>2624</v>
      </c>
      <c r="K657" s="12" t="s">
        <v>62</v>
      </c>
      <c r="L657" s="12" t="s">
        <v>510</v>
      </c>
    </row>
    <row r="658" spans="1:12" ht="26.4" x14ac:dyDescent="0.3">
      <c r="A658" s="10" t="s">
        <v>2641</v>
      </c>
      <c r="B658" s="11" t="s">
        <v>16</v>
      </c>
      <c r="C658" s="11" t="s">
        <v>2642</v>
      </c>
      <c r="D658" s="11" t="s">
        <v>2622</v>
      </c>
      <c r="E658" s="11" t="s">
        <v>2643</v>
      </c>
      <c r="F658" s="11" t="s">
        <v>1345</v>
      </c>
      <c r="G658" s="12" t="s">
        <v>59</v>
      </c>
      <c r="H658" s="12" t="s">
        <v>59</v>
      </c>
      <c r="I658" s="12" t="s">
        <v>508</v>
      </c>
      <c r="J658" s="11" t="s">
        <v>2624</v>
      </c>
      <c r="K658" s="12" t="s">
        <v>62</v>
      </c>
      <c r="L658" s="12" t="s">
        <v>510</v>
      </c>
    </row>
    <row r="659" spans="1:12" ht="26.4" x14ac:dyDescent="0.3">
      <c r="A659" s="10" t="s">
        <v>2644</v>
      </c>
      <c r="B659" s="11" t="s">
        <v>16</v>
      </c>
      <c r="C659" s="11" t="s">
        <v>2645</v>
      </c>
      <c r="D659" s="11" t="s">
        <v>2646</v>
      </c>
      <c r="E659" s="11" t="s">
        <v>2647</v>
      </c>
      <c r="F659" s="11" t="s">
        <v>2648</v>
      </c>
      <c r="G659" s="12" t="s">
        <v>59</v>
      </c>
      <c r="H659" s="12" t="s">
        <v>59</v>
      </c>
      <c r="I659" s="12" t="s">
        <v>508</v>
      </c>
      <c r="J659" s="11" t="s">
        <v>2649</v>
      </c>
      <c r="K659" s="12" t="s">
        <v>62</v>
      </c>
      <c r="L659" s="12" t="s">
        <v>510</v>
      </c>
    </row>
    <row r="660" spans="1:12" ht="26.4" x14ac:dyDescent="0.3">
      <c r="A660" s="10" t="s">
        <v>2650</v>
      </c>
      <c r="B660" s="11" t="s">
        <v>16</v>
      </c>
      <c r="C660" s="11" t="s">
        <v>2645</v>
      </c>
      <c r="D660" s="11" t="s">
        <v>2646</v>
      </c>
      <c r="E660" s="11" t="s">
        <v>2651</v>
      </c>
      <c r="F660" s="11" t="s">
        <v>2648</v>
      </c>
      <c r="G660" s="12" t="s">
        <v>59</v>
      </c>
      <c r="H660" s="12" t="s">
        <v>59</v>
      </c>
      <c r="I660" s="12" t="s">
        <v>508</v>
      </c>
      <c r="J660" s="11" t="s">
        <v>2649</v>
      </c>
      <c r="K660" s="12" t="s">
        <v>62</v>
      </c>
      <c r="L660" s="12" t="s">
        <v>510</v>
      </c>
    </row>
    <row r="661" spans="1:12" ht="26.4" x14ac:dyDescent="0.3">
      <c r="A661" s="10" t="s">
        <v>2652</v>
      </c>
      <c r="B661" s="11" t="s">
        <v>16</v>
      </c>
      <c r="C661" s="11" t="s">
        <v>2645</v>
      </c>
      <c r="D661" s="11" t="s">
        <v>2646</v>
      </c>
      <c r="E661" s="11" t="s">
        <v>2653</v>
      </c>
      <c r="F661" s="11" t="s">
        <v>2648</v>
      </c>
      <c r="G661" s="12" t="s">
        <v>59</v>
      </c>
      <c r="H661" s="12" t="s">
        <v>59</v>
      </c>
      <c r="I661" s="12" t="s">
        <v>508</v>
      </c>
      <c r="J661" s="11" t="s">
        <v>2649</v>
      </c>
      <c r="K661" s="12" t="s">
        <v>62</v>
      </c>
      <c r="L661" s="12" t="s">
        <v>510</v>
      </c>
    </row>
    <row r="662" spans="1:12" ht="26.4" x14ac:dyDescent="0.3">
      <c r="A662" s="10" t="s">
        <v>2654</v>
      </c>
      <c r="B662" s="11" t="s">
        <v>16</v>
      </c>
      <c r="C662" s="11" t="s">
        <v>2645</v>
      </c>
      <c r="D662" s="11" t="s">
        <v>2646</v>
      </c>
      <c r="E662" s="11" t="s">
        <v>85</v>
      </c>
      <c r="F662" s="11" t="s">
        <v>2648</v>
      </c>
      <c r="G662" s="12" t="s">
        <v>59</v>
      </c>
      <c r="H662" s="12" t="s">
        <v>59</v>
      </c>
      <c r="I662" s="12" t="s">
        <v>508</v>
      </c>
      <c r="J662" s="11" t="s">
        <v>2649</v>
      </c>
      <c r="K662" s="12" t="s">
        <v>62</v>
      </c>
      <c r="L662" s="12" t="s">
        <v>510</v>
      </c>
    </row>
    <row r="663" spans="1:12" ht="26.4" x14ac:dyDescent="0.3">
      <c r="A663" s="10" t="s">
        <v>2655</v>
      </c>
      <c r="B663" s="11" t="s">
        <v>16</v>
      </c>
      <c r="C663" s="11" t="s">
        <v>2645</v>
      </c>
      <c r="D663" s="11" t="s">
        <v>2646</v>
      </c>
      <c r="E663" s="11" t="s">
        <v>2656</v>
      </c>
      <c r="F663" s="11" t="s">
        <v>2648</v>
      </c>
      <c r="G663" s="12" t="s">
        <v>59</v>
      </c>
      <c r="H663" s="12" t="s">
        <v>59</v>
      </c>
      <c r="I663" s="12" t="s">
        <v>508</v>
      </c>
      <c r="J663" s="11" t="s">
        <v>2649</v>
      </c>
      <c r="K663" s="12" t="s">
        <v>62</v>
      </c>
      <c r="L663" s="12" t="s">
        <v>510</v>
      </c>
    </row>
    <row r="664" spans="1:12" ht="26.4" x14ac:dyDescent="0.3">
      <c r="A664" s="10" t="s">
        <v>2657</v>
      </c>
      <c r="B664" s="11" t="s">
        <v>16</v>
      </c>
      <c r="C664" s="11" t="s">
        <v>2645</v>
      </c>
      <c r="D664" s="11" t="s">
        <v>2646</v>
      </c>
      <c r="E664" s="11" t="s">
        <v>2658</v>
      </c>
      <c r="F664" s="11" t="s">
        <v>2648</v>
      </c>
      <c r="G664" s="12" t="s">
        <v>59</v>
      </c>
      <c r="H664" s="12" t="s">
        <v>59</v>
      </c>
      <c r="I664" s="12" t="s">
        <v>508</v>
      </c>
      <c r="J664" s="11" t="s">
        <v>2649</v>
      </c>
      <c r="K664" s="12" t="s">
        <v>62</v>
      </c>
      <c r="L664" s="12" t="s">
        <v>510</v>
      </c>
    </row>
    <row r="665" spans="1:12" ht="26.4" x14ac:dyDescent="0.3">
      <c r="A665" s="10" t="s">
        <v>2659</v>
      </c>
      <c r="B665" s="11" t="s">
        <v>16</v>
      </c>
      <c r="C665" s="11" t="s">
        <v>2645</v>
      </c>
      <c r="D665" s="11" t="s">
        <v>2646</v>
      </c>
      <c r="E665" s="11" t="s">
        <v>2660</v>
      </c>
      <c r="F665" s="11" t="s">
        <v>2648</v>
      </c>
      <c r="G665" s="12" t="s">
        <v>59</v>
      </c>
      <c r="H665" s="12" t="s">
        <v>59</v>
      </c>
      <c r="I665" s="12" t="s">
        <v>508</v>
      </c>
      <c r="J665" s="11" t="s">
        <v>2649</v>
      </c>
      <c r="K665" s="12" t="s">
        <v>62</v>
      </c>
      <c r="L665" s="12" t="s">
        <v>510</v>
      </c>
    </row>
    <row r="666" spans="1:12" ht="26.4" x14ac:dyDescent="0.3">
      <c r="A666" s="10" t="s">
        <v>2661</v>
      </c>
      <c r="B666" s="11" t="s">
        <v>16</v>
      </c>
      <c r="C666" s="11" t="s">
        <v>2645</v>
      </c>
      <c r="D666" s="11" t="s">
        <v>2646</v>
      </c>
      <c r="E666" s="11" t="s">
        <v>2662</v>
      </c>
      <c r="F666" s="11" t="s">
        <v>2648</v>
      </c>
      <c r="G666" s="12" t="s">
        <v>59</v>
      </c>
      <c r="H666" s="12" t="s">
        <v>59</v>
      </c>
      <c r="I666" s="12" t="s">
        <v>508</v>
      </c>
      <c r="J666" s="11" t="s">
        <v>2649</v>
      </c>
      <c r="K666" s="12" t="s">
        <v>62</v>
      </c>
      <c r="L666" s="12" t="s">
        <v>510</v>
      </c>
    </row>
    <row r="667" spans="1:12" ht="26.4" x14ac:dyDescent="0.3">
      <c r="A667" s="10" t="s">
        <v>2663</v>
      </c>
      <c r="B667" s="11" t="s">
        <v>16</v>
      </c>
      <c r="C667" s="11" t="s">
        <v>2645</v>
      </c>
      <c r="D667" s="11" t="s">
        <v>2646</v>
      </c>
      <c r="E667" s="11" t="s">
        <v>2664</v>
      </c>
      <c r="F667" s="11" t="s">
        <v>2648</v>
      </c>
      <c r="G667" s="12" t="s">
        <v>59</v>
      </c>
      <c r="H667" s="12" t="s">
        <v>59</v>
      </c>
      <c r="I667" s="12" t="s">
        <v>508</v>
      </c>
      <c r="J667" s="11" t="s">
        <v>2649</v>
      </c>
      <c r="K667" s="12" t="s">
        <v>62</v>
      </c>
      <c r="L667" s="12" t="s">
        <v>510</v>
      </c>
    </row>
    <row r="668" spans="1:12" ht="26.4" x14ac:dyDescent="0.3">
      <c r="A668" s="10" t="s">
        <v>2665</v>
      </c>
      <c r="B668" s="11" t="s">
        <v>16</v>
      </c>
      <c r="C668" s="11" t="s">
        <v>2645</v>
      </c>
      <c r="D668" s="11" t="s">
        <v>2646</v>
      </c>
      <c r="E668" s="11" t="s">
        <v>2666</v>
      </c>
      <c r="F668" s="11" t="s">
        <v>2648</v>
      </c>
      <c r="G668" s="12" t="s">
        <v>59</v>
      </c>
      <c r="H668" s="12" t="s">
        <v>59</v>
      </c>
      <c r="I668" s="12" t="s">
        <v>508</v>
      </c>
      <c r="J668" s="11" t="s">
        <v>2649</v>
      </c>
      <c r="K668" s="12" t="s">
        <v>62</v>
      </c>
      <c r="L668" s="12" t="s">
        <v>510</v>
      </c>
    </row>
    <row r="669" spans="1:12" ht="26.4" x14ac:dyDescent="0.3">
      <c r="A669" s="10" t="s">
        <v>2667</v>
      </c>
      <c r="B669" s="11" t="s">
        <v>16</v>
      </c>
      <c r="C669" s="11" t="s">
        <v>2645</v>
      </c>
      <c r="D669" s="11" t="s">
        <v>2646</v>
      </c>
      <c r="E669" s="11" t="s">
        <v>2668</v>
      </c>
      <c r="F669" s="11" t="s">
        <v>2648</v>
      </c>
      <c r="G669" s="12" t="s">
        <v>59</v>
      </c>
      <c r="H669" s="12" t="s">
        <v>59</v>
      </c>
      <c r="I669" s="12" t="s">
        <v>508</v>
      </c>
      <c r="J669" s="11" t="s">
        <v>2649</v>
      </c>
      <c r="K669" s="12" t="s">
        <v>62</v>
      </c>
      <c r="L669" s="12" t="s">
        <v>510</v>
      </c>
    </row>
    <row r="670" spans="1:12" ht="26.4" x14ac:dyDescent="0.3">
      <c r="A670" s="10" t="s">
        <v>2669</v>
      </c>
      <c r="B670" s="11" t="s">
        <v>16</v>
      </c>
      <c r="C670" s="11" t="s">
        <v>2645</v>
      </c>
      <c r="D670" s="11" t="s">
        <v>2646</v>
      </c>
      <c r="E670" s="11" t="s">
        <v>2670</v>
      </c>
      <c r="F670" s="11" t="s">
        <v>2648</v>
      </c>
      <c r="G670" s="12" t="s">
        <v>59</v>
      </c>
      <c r="H670" s="12" t="s">
        <v>59</v>
      </c>
      <c r="I670" s="12" t="s">
        <v>508</v>
      </c>
      <c r="J670" s="11" t="s">
        <v>2649</v>
      </c>
      <c r="K670" s="12" t="s">
        <v>62</v>
      </c>
      <c r="L670" s="12" t="s">
        <v>510</v>
      </c>
    </row>
    <row r="671" spans="1:12" ht="26.4" x14ac:dyDescent="0.3">
      <c r="A671" s="10" t="s">
        <v>2671</v>
      </c>
      <c r="B671" s="11" t="s">
        <v>16</v>
      </c>
      <c r="C671" s="11" t="s">
        <v>2645</v>
      </c>
      <c r="D671" s="11" t="s">
        <v>2646</v>
      </c>
      <c r="E671" s="11" t="s">
        <v>2672</v>
      </c>
      <c r="F671" s="11" t="s">
        <v>2648</v>
      </c>
      <c r="G671" s="12" t="s">
        <v>59</v>
      </c>
      <c r="H671" s="12" t="s">
        <v>59</v>
      </c>
      <c r="I671" s="12" t="s">
        <v>508</v>
      </c>
      <c r="J671" s="11" t="s">
        <v>2649</v>
      </c>
      <c r="K671" s="12" t="s">
        <v>62</v>
      </c>
      <c r="L671" s="12" t="s">
        <v>510</v>
      </c>
    </row>
    <row r="672" spans="1:12" ht="26.4" x14ac:dyDescent="0.3">
      <c r="A672" s="10" t="s">
        <v>2673</v>
      </c>
      <c r="B672" s="11" t="s">
        <v>16</v>
      </c>
      <c r="C672" s="11" t="s">
        <v>2645</v>
      </c>
      <c r="D672" s="11" t="s">
        <v>2646</v>
      </c>
      <c r="E672" s="11" t="s">
        <v>2674</v>
      </c>
      <c r="F672" s="11" t="s">
        <v>2648</v>
      </c>
      <c r="G672" s="12" t="s">
        <v>59</v>
      </c>
      <c r="H672" s="12" t="s">
        <v>59</v>
      </c>
      <c r="I672" s="12" t="s">
        <v>508</v>
      </c>
      <c r="J672" s="11" t="s">
        <v>2649</v>
      </c>
      <c r="K672" s="12" t="s">
        <v>62</v>
      </c>
      <c r="L672" s="12" t="s">
        <v>510</v>
      </c>
    </row>
    <row r="673" spans="1:12" ht="26.4" x14ac:dyDescent="0.3">
      <c r="A673" s="10" t="s">
        <v>2675</v>
      </c>
      <c r="B673" s="11" t="s">
        <v>16</v>
      </c>
      <c r="C673" s="11" t="s">
        <v>2676</v>
      </c>
      <c r="D673" s="11" t="s">
        <v>2677</v>
      </c>
      <c r="E673" s="11" t="s">
        <v>2678</v>
      </c>
      <c r="F673" s="11" t="s">
        <v>1355</v>
      </c>
      <c r="G673" s="12" t="s">
        <v>59</v>
      </c>
      <c r="H673" s="12" t="s">
        <v>59</v>
      </c>
      <c r="I673" s="12" t="s">
        <v>508</v>
      </c>
      <c r="J673" s="11" t="s">
        <v>2679</v>
      </c>
      <c r="K673" s="12" t="s">
        <v>62</v>
      </c>
      <c r="L673" s="12" t="s">
        <v>510</v>
      </c>
    </row>
    <row r="674" spans="1:12" ht="26.4" x14ac:dyDescent="0.3">
      <c r="A674" s="10" t="s">
        <v>2680</v>
      </c>
      <c r="B674" s="11" t="s">
        <v>16</v>
      </c>
      <c r="C674" s="11" t="s">
        <v>2681</v>
      </c>
      <c r="D674" s="11" t="s">
        <v>2677</v>
      </c>
      <c r="E674" s="11" t="s">
        <v>2567</v>
      </c>
      <c r="F674" s="11" t="s">
        <v>1355</v>
      </c>
      <c r="G674" s="12" t="s">
        <v>59</v>
      </c>
      <c r="H674" s="12" t="s">
        <v>59</v>
      </c>
      <c r="I674" s="12" t="s">
        <v>508</v>
      </c>
      <c r="J674" s="11" t="s">
        <v>2679</v>
      </c>
      <c r="K674" s="12" t="s">
        <v>62</v>
      </c>
      <c r="L674" s="12" t="s">
        <v>510</v>
      </c>
    </row>
    <row r="675" spans="1:12" ht="26.4" x14ac:dyDescent="0.3">
      <c r="A675" s="10" t="s">
        <v>2682</v>
      </c>
      <c r="B675" s="11" t="s">
        <v>16</v>
      </c>
      <c r="C675" s="11" t="s">
        <v>2683</v>
      </c>
      <c r="D675" s="11" t="s">
        <v>2677</v>
      </c>
      <c r="E675" s="11" t="s">
        <v>2570</v>
      </c>
      <c r="F675" s="11" t="s">
        <v>1345</v>
      </c>
      <c r="G675" s="12" t="s">
        <v>59</v>
      </c>
      <c r="H675" s="12" t="s">
        <v>59</v>
      </c>
      <c r="I675" s="12" t="s">
        <v>508</v>
      </c>
      <c r="J675" s="11" t="s">
        <v>2679</v>
      </c>
      <c r="K675" s="12" t="s">
        <v>62</v>
      </c>
      <c r="L675" s="12" t="s">
        <v>510</v>
      </c>
    </row>
    <row r="676" spans="1:12" ht="26.4" x14ac:dyDescent="0.3">
      <c r="A676" s="10" t="s">
        <v>2684</v>
      </c>
      <c r="B676" s="11" t="s">
        <v>16</v>
      </c>
      <c r="C676" s="11" t="s">
        <v>2685</v>
      </c>
      <c r="D676" s="11" t="s">
        <v>2677</v>
      </c>
      <c r="E676" s="11" t="s">
        <v>2573</v>
      </c>
      <c r="F676" s="11" t="s">
        <v>1345</v>
      </c>
      <c r="G676" s="12" t="s">
        <v>59</v>
      </c>
      <c r="H676" s="12" t="s">
        <v>59</v>
      </c>
      <c r="I676" s="12" t="s">
        <v>508</v>
      </c>
      <c r="J676" s="11" t="s">
        <v>2679</v>
      </c>
      <c r="K676" s="12" t="s">
        <v>62</v>
      </c>
      <c r="L676" s="12" t="s">
        <v>510</v>
      </c>
    </row>
    <row r="677" spans="1:12" ht="26.4" x14ac:dyDescent="0.3">
      <c r="A677" s="10" t="s">
        <v>2686</v>
      </c>
      <c r="B677" s="11" t="s">
        <v>16</v>
      </c>
      <c r="C677" s="11" t="s">
        <v>2687</v>
      </c>
      <c r="D677" s="11" t="s">
        <v>2677</v>
      </c>
      <c r="E677" s="11" t="s">
        <v>2688</v>
      </c>
      <c r="F677" s="11" t="s">
        <v>1345</v>
      </c>
      <c r="G677" s="12" t="s">
        <v>59</v>
      </c>
      <c r="H677" s="12" t="s">
        <v>59</v>
      </c>
      <c r="I677" s="12" t="s">
        <v>508</v>
      </c>
      <c r="J677" s="11" t="s">
        <v>2679</v>
      </c>
      <c r="K677" s="12" t="s">
        <v>62</v>
      </c>
      <c r="L677" s="12" t="s">
        <v>510</v>
      </c>
    </row>
    <row r="678" spans="1:12" ht="26.4" x14ac:dyDescent="0.3">
      <c r="A678" s="10" t="s">
        <v>2689</v>
      </c>
      <c r="B678" s="11" t="s">
        <v>16</v>
      </c>
      <c r="C678" s="11" t="s">
        <v>2690</v>
      </c>
      <c r="D678" s="11" t="s">
        <v>2677</v>
      </c>
      <c r="E678" s="11" t="s">
        <v>2691</v>
      </c>
      <c r="F678" s="11" t="s">
        <v>1345</v>
      </c>
      <c r="G678" s="12" t="s">
        <v>59</v>
      </c>
      <c r="H678" s="12" t="s">
        <v>59</v>
      </c>
      <c r="I678" s="12" t="s">
        <v>508</v>
      </c>
      <c r="J678" s="11" t="s">
        <v>2679</v>
      </c>
      <c r="K678" s="12" t="s">
        <v>62</v>
      </c>
      <c r="L678" s="12" t="s">
        <v>510</v>
      </c>
    </row>
    <row r="679" spans="1:12" ht="26.4" x14ac:dyDescent="0.3">
      <c r="A679" s="10" t="s">
        <v>2692</v>
      </c>
      <c r="B679" s="11" t="s">
        <v>16</v>
      </c>
      <c r="C679" s="11" t="s">
        <v>2693</v>
      </c>
      <c r="D679" s="11" t="s">
        <v>2694</v>
      </c>
      <c r="E679" s="11" t="s">
        <v>2695</v>
      </c>
      <c r="F679" s="11" t="s">
        <v>1355</v>
      </c>
      <c r="G679" s="12" t="s">
        <v>59</v>
      </c>
      <c r="H679" s="12" t="s">
        <v>59</v>
      </c>
      <c r="I679" s="12" t="s">
        <v>508</v>
      </c>
      <c r="J679" s="11" t="s">
        <v>2696</v>
      </c>
      <c r="K679" s="12" t="s">
        <v>62</v>
      </c>
      <c r="L679" s="12" t="s">
        <v>510</v>
      </c>
    </row>
    <row r="680" spans="1:12" ht="26.4" x14ac:dyDescent="0.3">
      <c r="A680" s="10" t="s">
        <v>2697</v>
      </c>
      <c r="B680" s="11" t="s">
        <v>16</v>
      </c>
      <c r="C680" s="11" t="s">
        <v>2698</v>
      </c>
      <c r="D680" s="11" t="s">
        <v>2694</v>
      </c>
      <c r="E680" s="11" t="s">
        <v>2699</v>
      </c>
      <c r="F680" s="11" t="s">
        <v>1355</v>
      </c>
      <c r="G680" s="12" t="s">
        <v>59</v>
      </c>
      <c r="H680" s="12" t="s">
        <v>59</v>
      </c>
      <c r="I680" s="12" t="s">
        <v>508</v>
      </c>
      <c r="J680" s="11" t="s">
        <v>2696</v>
      </c>
      <c r="K680" s="12" t="s">
        <v>62</v>
      </c>
      <c r="L680" s="12" t="s">
        <v>510</v>
      </c>
    </row>
    <row r="681" spans="1:12" ht="26.4" x14ac:dyDescent="0.3">
      <c r="A681" s="10" t="s">
        <v>2700</v>
      </c>
      <c r="B681" s="11" t="s">
        <v>16</v>
      </c>
      <c r="C681" s="11" t="s">
        <v>2701</v>
      </c>
      <c r="D681" s="11" t="s">
        <v>2694</v>
      </c>
      <c r="E681" s="11" t="s">
        <v>2702</v>
      </c>
      <c r="F681" s="11" t="s">
        <v>1345</v>
      </c>
      <c r="G681" s="12" t="s">
        <v>59</v>
      </c>
      <c r="H681" s="12" t="s">
        <v>59</v>
      </c>
      <c r="I681" s="12" t="s">
        <v>508</v>
      </c>
      <c r="J681" s="11" t="s">
        <v>2696</v>
      </c>
      <c r="K681" s="12" t="s">
        <v>62</v>
      </c>
      <c r="L681" s="12" t="s">
        <v>510</v>
      </c>
    </row>
    <row r="682" spans="1:12" ht="26.4" x14ac:dyDescent="0.3">
      <c r="A682" s="10" t="s">
        <v>2703</v>
      </c>
      <c r="B682" s="11" t="s">
        <v>16</v>
      </c>
      <c r="C682" s="11" t="s">
        <v>2704</v>
      </c>
      <c r="D682" s="11" t="s">
        <v>2694</v>
      </c>
      <c r="E682" s="11" t="s">
        <v>2705</v>
      </c>
      <c r="F682" s="11" t="s">
        <v>1345</v>
      </c>
      <c r="G682" s="12" t="s">
        <v>59</v>
      </c>
      <c r="H682" s="12" t="s">
        <v>59</v>
      </c>
      <c r="I682" s="12" t="s">
        <v>508</v>
      </c>
      <c r="J682" s="11" t="s">
        <v>2696</v>
      </c>
      <c r="K682" s="12" t="s">
        <v>62</v>
      </c>
      <c r="L682" s="12" t="s">
        <v>510</v>
      </c>
    </row>
    <row r="683" spans="1:12" ht="26.4" x14ac:dyDescent="0.3">
      <c r="A683" s="10" t="s">
        <v>2706</v>
      </c>
      <c r="B683" s="11" t="s">
        <v>16</v>
      </c>
      <c r="C683" s="11" t="s">
        <v>2707</v>
      </c>
      <c r="D683" s="11" t="s">
        <v>2694</v>
      </c>
      <c r="E683" s="11" t="s">
        <v>2708</v>
      </c>
      <c r="F683" s="11" t="s">
        <v>1345</v>
      </c>
      <c r="G683" s="12" t="s">
        <v>59</v>
      </c>
      <c r="H683" s="12" t="s">
        <v>59</v>
      </c>
      <c r="I683" s="12" t="s">
        <v>508</v>
      </c>
      <c r="J683" s="11" t="s">
        <v>2696</v>
      </c>
      <c r="K683" s="12" t="s">
        <v>62</v>
      </c>
      <c r="L683" s="12" t="s">
        <v>510</v>
      </c>
    </row>
    <row r="684" spans="1:12" ht="26.4" x14ac:dyDescent="0.3">
      <c r="A684" s="10" t="s">
        <v>2709</v>
      </c>
      <c r="B684" s="11" t="s">
        <v>16</v>
      </c>
      <c r="C684" s="11" t="s">
        <v>2710</v>
      </c>
      <c r="D684" s="11" t="s">
        <v>2711</v>
      </c>
      <c r="E684" s="11" t="s">
        <v>2712</v>
      </c>
      <c r="F684" s="11" t="s">
        <v>2713</v>
      </c>
      <c r="G684" s="12" t="s">
        <v>59</v>
      </c>
      <c r="H684" s="12" t="s">
        <v>59</v>
      </c>
      <c r="I684" s="12" t="s">
        <v>508</v>
      </c>
      <c r="J684" s="11" t="s">
        <v>2714</v>
      </c>
      <c r="K684" s="12" t="s">
        <v>62</v>
      </c>
      <c r="L684" s="12" t="s">
        <v>510</v>
      </c>
    </row>
    <row r="685" spans="1:12" ht="26.4" x14ac:dyDescent="0.3">
      <c r="A685" s="10" t="s">
        <v>2715</v>
      </c>
      <c r="B685" s="11" t="s">
        <v>16</v>
      </c>
      <c r="C685" s="11" t="s">
        <v>2710</v>
      </c>
      <c r="D685" s="11" t="s">
        <v>2711</v>
      </c>
      <c r="E685" s="11" t="s">
        <v>2716</v>
      </c>
      <c r="F685" s="11" t="s">
        <v>2713</v>
      </c>
      <c r="G685" s="12" t="s">
        <v>59</v>
      </c>
      <c r="H685" s="12" t="s">
        <v>59</v>
      </c>
      <c r="I685" s="12" t="s">
        <v>508</v>
      </c>
      <c r="J685" s="11" t="s">
        <v>2714</v>
      </c>
      <c r="K685" s="12" t="s">
        <v>62</v>
      </c>
      <c r="L685" s="12" t="s">
        <v>510</v>
      </c>
    </row>
    <row r="686" spans="1:12" ht="26.4" x14ac:dyDescent="0.3">
      <c r="A686" s="10" t="s">
        <v>2717</v>
      </c>
      <c r="B686" s="11" t="s">
        <v>16</v>
      </c>
      <c r="C686" s="11" t="s">
        <v>2710</v>
      </c>
      <c r="D686" s="11" t="s">
        <v>2711</v>
      </c>
      <c r="E686" s="11" t="s">
        <v>2718</v>
      </c>
      <c r="F686" s="11" t="s">
        <v>2713</v>
      </c>
      <c r="G686" s="12" t="s">
        <v>59</v>
      </c>
      <c r="H686" s="12" t="s">
        <v>59</v>
      </c>
      <c r="I686" s="12" t="s">
        <v>508</v>
      </c>
      <c r="J686" s="11" t="s">
        <v>2714</v>
      </c>
      <c r="K686" s="12" t="s">
        <v>62</v>
      </c>
      <c r="L686" s="12" t="s">
        <v>510</v>
      </c>
    </row>
    <row r="687" spans="1:12" ht="26.4" x14ac:dyDescent="0.3">
      <c r="A687" s="10" t="s">
        <v>2719</v>
      </c>
      <c r="B687" s="11" t="s">
        <v>16</v>
      </c>
      <c r="C687" s="11" t="s">
        <v>2720</v>
      </c>
      <c r="D687" s="11" t="s">
        <v>2721</v>
      </c>
      <c r="E687" s="11" t="s">
        <v>2722</v>
      </c>
      <c r="F687" s="11" t="s">
        <v>2723</v>
      </c>
      <c r="G687" s="12" t="s">
        <v>59</v>
      </c>
      <c r="H687" s="12" t="s">
        <v>59</v>
      </c>
      <c r="I687" s="12" t="s">
        <v>508</v>
      </c>
      <c r="J687" s="11" t="s">
        <v>2724</v>
      </c>
      <c r="K687" s="12" t="s">
        <v>62</v>
      </c>
      <c r="L687" s="12" t="s">
        <v>510</v>
      </c>
    </row>
    <row r="688" spans="1:12" ht="26.4" x14ac:dyDescent="0.3">
      <c r="A688" s="10" t="s">
        <v>2725</v>
      </c>
      <c r="B688" s="11" t="s">
        <v>16</v>
      </c>
      <c r="C688" s="11" t="s">
        <v>2720</v>
      </c>
      <c r="D688" s="11" t="s">
        <v>2721</v>
      </c>
      <c r="E688" s="11" t="s">
        <v>2726</v>
      </c>
      <c r="F688" s="11" t="s">
        <v>2723</v>
      </c>
      <c r="G688" s="12" t="s">
        <v>59</v>
      </c>
      <c r="H688" s="12" t="s">
        <v>59</v>
      </c>
      <c r="I688" s="12" t="s">
        <v>508</v>
      </c>
      <c r="J688" s="11" t="s">
        <v>2724</v>
      </c>
      <c r="K688" s="12" t="s">
        <v>62</v>
      </c>
      <c r="L688" s="12" t="s">
        <v>510</v>
      </c>
    </row>
    <row r="689" spans="1:12" ht="26.4" x14ac:dyDescent="0.3">
      <c r="A689" s="10" t="s">
        <v>2727</v>
      </c>
      <c r="B689" s="11" t="s">
        <v>16</v>
      </c>
      <c r="C689" s="11" t="s">
        <v>2720</v>
      </c>
      <c r="D689" s="11" t="s">
        <v>2721</v>
      </c>
      <c r="E689" s="11" t="s">
        <v>2728</v>
      </c>
      <c r="F689" s="11" t="s">
        <v>2723</v>
      </c>
      <c r="G689" s="12" t="s">
        <v>59</v>
      </c>
      <c r="H689" s="12" t="s">
        <v>59</v>
      </c>
      <c r="I689" s="12" t="s">
        <v>508</v>
      </c>
      <c r="J689" s="11" t="s">
        <v>2724</v>
      </c>
      <c r="K689" s="12" t="s">
        <v>62</v>
      </c>
      <c r="L689" s="12" t="s">
        <v>510</v>
      </c>
    </row>
    <row r="690" spans="1:12" ht="26.4" x14ac:dyDescent="0.3">
      <c r="A690" s="10" t="s">
        <v>2729</v>
      </c>
      <c r="B690" s="11" t="s">
        <v>16</v>
      </c>
      <c r="C690" s="11" t="s">
        <v>2720</v>
      </c>
      <c r="D690" s="11" t="s">
        <v>2721</v>
      </c>
      <c r="E690" s="11" t="s">
        <v>2730</v>
      </c>
      <c r="F690" s="11" t="s">
        <v>2723</v>
      </c>
      <c r="G690" s="12" t="s">
        <v>59</v>
      </c>
      <c r="H690" s="12" t="s">
        <v>59</v>
      </c>
      <c r="I690" s="12" t="s">
        <v>508</v>
      </c>
      <c r="J690" s="11" t="s">
        <v>2724</v>
      </c>
      <c r="K690" s="12" t="s">
        <v>62</v>
      </c>
      <c r="L690" s="12" t="s">
        <v>510</v>
      </c>
    </row>
    <row r="691" spans="1:12" ht="26.4" x14ac:dyDescent="0.3">
      <c r="A691" s="10" t="s">
        <v>2731</v>
      </c>
      <c r="B691" s="11" t="s">
        <v>16</v>
      </c>
      <c r="C691" s="11" t="s">
        <v>2720</v>
      </c>
      <c r="D691" s="11" t="s">
        <v>2721</v>
      </c>
      <c r="E691" s="11" t="s">
        <v>2732</v>
      </c>
      <c r="F691" s="11" t="s">
        <v>2723</v>
      </c>
      <c r="G691" s="12" t="s">
        <v>59</v>
      </c>
      <c r="H691" s="12" t="s">
        <v>59</v>
      </c>
      <c r="I691" s="12" t="s">
        <v>508</v>
      </c>
      <c r="J691" s="11" t="s">
        <v>2724</v>
      </c>
      <c r="K691" s="12" t="s">
        <v>62</v>
      </c>
      <c r="L691" s="12" t="s">
        <v>510</v>
      </c>
    </row>
    <row r="692" spans="1:12" ht="26.4" x14ac:dyDescent="0.3">
      <c r="A692" s="10" t="s">
        <v>2733</v>
      </c>
      <c r="B692" s="11" t="s">
        <v>16</v>
      </c>
      <c r="C692" s="11" t="s">
        <v>2720</v>
      </c>
      <c r="D692" s="11" t="s">
        <v>2721</v>
      </c>
      <c r="E692" s="11" t="s">
        <v>2734</v>
      </c>
      <c r="F692" s="11" t="s">
        <v>2723</v>
      </c>
      <c r="G692" s="12" t="s">
        <v>59</v>
      </c>
      <c r="H692" s="12" t="s">
        <v>59</v>
      </c>
      <c r="I692" s="12" t="s">
        <v>508</v>
      </c>
      <c r="J692" s="11" t="s">
        <v>2724</v>
      </c>
      <c r="K692" s="12" t="s">
        <v>62</v>
      </c>
      <c r="L692" s="12" t="s">
        <v>510</v>
      </c>
    </row>
    <row r="693" spans="1:12" ht="26.4" x14ac:dyDescent="0.3">
      <c r="A693" s="10" t="s">
        <v>2735</v>
      </c>
      <c r="B693" s="11" t="s">
        <v>16</v>
      </c>
      <c r="C693" s="11" t="s">
        <v>2720</v>
      </c>
      <c r="D693" s="11" t="s">
        <v>2721</v>
      </c>
      <c r="E693" s="11" t="s">
        <v>2736</v>
      </c>
      <c r="F693" s="11" t="s">
        <v>2723</v>
      </c>
      <c r="G693" s="12" t="s">
        <v>59</v>
      </c>
      <c r="H693" s="12" t="s">
        <v>59</v>
      </c>
      <c r="I693" s="12" t="s">
        <v>508</v>
      </c>
      <c r="J693" s="11" t="s">
        <v>2724</v>
      </c>
      <c r="K693" s="12" t="s">
        <v>62</v>
      </c>
      <c r="L693" s="12" t="s">
        <v>510</v>
      </c>
    </row>
    <row r="694" spans="1:12" ht="26.4" x14ac:dyDescent="0.3">
      <c r="A694" s="10" t="s">
        <v>2737</v>
      </c>
      <c r="B694" s="11" t="s">
        <v>16</v>
      </c>
      <c r="C694" s="11" t="s">
        <v>2720</v>
      </c>
      <c r="D694" s="11" t="s">
        <v>2721</v>
      </c>
      <c r="E694" s="11" t="s">
        <v>2738</v>
      </c>
      <c r="F694" s="11" t="s">
        <v>2723</v>
      </c>
      <c r="G694" s="12" t="s">
        <v>59</v>
      </c>
      <c r="H694" s="12" t="s">
        <v>59</v>
      </c>
      <c r="I694" s="12" t="s">
        <v>508</v>
      </c>
      <c r="J694" s="11" t="s">
        <v>2724</v>
      </c>
      <c r="K694" s="12" t="s">
        <v>62</v>
      </c>
      <c r="L694" s="12" t="s">
        <v>510</v>
      </c>
    </row>
    <row r="695" spans="1:12" ht="26.4" x14ac:dyDescent="0.3">
      <c r="A695" s="10" t="s">
        <v>2739</v>
      </c>
      <c r="B695" s="11" t="s">
        <v>16</v>
      </c>
      <c r="C695" s="11" t="s">
        <v>2720</v>
      </c>
      <c r="D695" s="11" t="s">
        <v>2721</v>
      </c>
      <c r="E695" s="11" t="s">
        <v>2740</v>
      </c>
      <c r="F695" s="11" t="s">
        <v>2723</v>
      </c>
      <c r="G695" s="12" t="s">
        <v>59</v>
      </c>
      <c r="H695" s="12" t="s">
        <v>59</v>
      </c>
      <c r="I695" s="12" t="s">
        <v>508</v>
      </c>
      <c r="J695" s="11" t="s">
        <v>2724</v>
      </c>
      <c r="K695" s="12" t="s">
        <v>62</v>
      </c>
      <c r="L695" s="12" t="s">
        <v>510</v>
      </c>
    </row>
    <row r="696" spans="1:12" ht="26.4" x14ac:dyDescent="0.3">
      <c r="A696" s="10" t="s">
        <v>2741</v>
      </c>
      <c r="B696" s="11" t="s">
        <v>16</v>
      </c>
      <c r="C696" s="11" t="s">
        <v>2720</v>
      </c>
      <c r="D696" s="11" t="s">
        <v>2721</v>
      </c>
      <c r="E696" s="11" t="s">
        <v>2742</v>
      </c>
      <c r="F696" s="11" t="s">
        <v>2723</v>
      </c>
      <c r="G696" s="12" t="s">
        <v>59</v>
      </c>
      <c r="H696" s="12" t="s">
        <v>59</v>
      </c>
      <c r="I696" s="12" t="s">
        <v>508</v>
      </c>
      <c r="J696" s="11" t="s">
        <v>2724</v>
      </c>
      <c r="K696" s="12" t="s">
        <v>62</v>
      </c>
      <c r="L696" s="12" t="s">
        <v>510</v>
      </c>
    </row>
    <row r="697" spans="1:12" ht="26.4" x14ac:dyDescent="0.3">
      <c r="A697" s="10" t="s">
        <v>2743</v>
      </c>
      <c r="B697" s="11" t="s">
        <v>16</v>
      </c>
      <c r="C697" s="11" t="s">
        <v>2744</v>
      </c>
      <c r="D697" s="11" t="s">
        <v>2745</v>
      </c>
      <c r="E697" s="11" t="s">
        <v>2746</v>
      </c>
      <c r="F697" s="11" t="s">
        <v>2747</v>
      </c>
      <c r="G697" s="12" t="s">
        <v>59</v>
      </c>
      <c r="H697" s="12" t="s">
        <v>59</v>
      </c>
      <c r="I697" s="12" t="s">
        <v>508</v>
      </c>
      <c r="J697" s="11" t="s">
        <v>2748</v>
      </c>
      <c r="K697" s="12" t="s">
        <v>62</v>
      </c>
      <c r="L697" s="12" t="s">
        <v>510</v>
      </c>
    </row>
    <row r="698" spans="1:12" ht="26.4" x14ac:dyDescent="0.3">
      <c r="A698" s="10" t="s">
        <v>2749</v>
      </c>
      <c r="B698" s="11" t="s">
        <v>16</v>
      </c>
      <c r="C698" s="11" t="s">
        <v>2744</v>
      </c>
      <c r="D698" s="11" t="s">
        <v>2745</v>
      </c>
      <c r="E698" s="11" t="s">
        <v>2750</v>
      </c>
      <c r="F698" s="11" t="s">
        <v>2747</v>
      </c>
      <c r="G698" s="12" t="s">
        <v>59</v>
      </c>
      <c r="H698" s="12" t="s">
        <v>59</v>
      </c>
      <c r="I698" s="12" t="s">
        <v>508</v>
      </c>
      <c r="J698" s="11" t="s">
        <v>2748</v>
      </c>
      <c r="K698" s="12" t="s">
        <v>62</v>
      </c>
      <c r="L698" s="12" t="s">
        <v>510</v>
      </c>
    </row>
    <row r="699" spans="1:12" ht="26.4" x14ac:dyDescent="0.3">
      <c r="A699" s="10" t="s">
        <v>2751</v>
      </c>
      <c r="B699" s="11" t="s">
        <v>16</v>
      </c>
      <c r="C699" s="11" t="s">
        <v>2744</v>
      </c>
      <c r="D699" s="11" t="s">
        <v>2745</v>
      </c>
      <c r="E699" s="11" t="s">
        <v>2752</v>
      </c>
      <c r="F699" s="11" t="s">
        <v>2747</v>
      </c>
      <c r="G699" s="12" t="s">
        <v>59</v>
      </c>
      <c r="H699" s="12" t="s">
        <v>59</v>
      </c>
      <c r="I699" s="12" t="s">
        <v>508</v>
      </c>
      <c r="J699" s="11" t="s">
        <v>2748</v>
      </c>
      <c r="K699" s="12" t="s">
        <v>62</v>
      </c>
      <c r="L699" s="12" t="s">
        <v>510</v>
      </c>
    </row>
    <row r="700" spans="1:12" ht="26.4" x14ac:dyDescent="0.3">
      <c r="A700" s="10" t="s">
        <v>2753</v>
      </c>
      <c r="B700" s="11" t="s">
        <v>16</v>
      </c>
      <c r="C700" s="11" t="s">
        <v>2754</v>
      </c>
      <c r="D700" s="11" t="s">
        <v>2755</v>
      </c>
      <c r="E700" s="11" t="s">
        <v>2756</v>
      </c>
      <c r="F700" s="11" t="s">
        <v>2605</v>
      </c>
      <c r="G700" s="12" t="s">
        <v>59</v>
      </c>
      <c r="H700" s="12" t="s">
        <v>59</v>
      </c>
      <c r="I700" s="12" t="s">
        <v>508</v>
      </c>
      <c r="J700" s="11" t="s">
        <v>2757</v>
      </c>
      <c r="K700" s="12" t="s">
        <v>62</v>
      </c>
      <c r="L700" s="12" t="s">
        <v>510</v>
      </c>
    </row>
    <row r="701" spans="1:12" ht="26.4" x14ac:dyDescent="0.3">
      <c r="A701" s="10" t="s">
        <v>2758</v>
      </c>
      <c r="B701" s="11" t="s">
        <v>16</v>
      </c>
      <c r="C701" s="11" t="s">
        <v>2754</v>
      </c>
      <c r="D701" s="11" t="s">
        <v>2755</v>
      </c>
      <c r="E701" s="11" t="s">
        <v>2759</v>
      </c>
      <c r="F701" s="11" t="s">
        <v>2605</v>
      </c>
      <c r="G701" s="12" t="s">
        <v>59</v>
      </c>
      <c r="H701" s="12" t="s">
        <v>59</v>
      </c>
      <c r="I701" s="12" t="s">
        <v>508</v>
      </c>
      <c r="J701" s="11" t="s">
        <v>2757</v>
      </c>
      <c r="K701" s="12" t="s">
        <v>62</v>
      </c>
      <c r="L701" s="12" t="s">
        <v>510</v>
      </c>
    </row>
    <row r="702" spans="1:12" ht="26.4" x14ac:dyDescent="0.3">
      <c r="A702" s="10" t="s">
        <v>2760</v>
      </c>
      <c r="B702" s="11" t="s">
        <v>16</v>
      </c>
      <c r="C702" s="11" t="s">
        <v>2761</v>
      </c>
      <c r="D702" s="11" t="s">
        <v>2762</v>
      </c>
      <c r="E702" s="11" t="s">
        <v>2763</v>
      </c>
      <c r="F702" s="11" t="s">
        <v>2764</v>
      </c>
      <c r="G702" s="12" t="s">
        <v>59</v>
      </c>
      <c r="H702" s="12" t="s">
        <v>59</v>
      </c>
      <c r="I702" s="12" t="s">
        <v>508</v>
      </c>
      <c r="J702" s="11" t="s">
        <v>2765</v>
      </c>
      <c r="K702" s="12" t="s">
        <v>62</v>
      </c>
      <c r="L702" s="12" t="s">
        <v>510</v>
      </c>
    </row>
    <row r="703" spans="1:12" ht="26.4" x14ac:dyDescent="0.3">
      <c r="A703" s="10" t="s">
        <v>2766</v>
      </c>
      <c r="B703" s="11" t="s">
        <v>16</v>
      </c>
      <c r="C703" s="11" t="s">
        <v>2761</v>
      </c>
      <c r="D703" s="11" t="s">
        <v>2762</v>
      </c>
      <c r="E703" s="11" t="s">
        <v>2767</v>
      </c>
      <c r="F703" s="11" t="s">
        <v>2764</v>
      </c>
      <c r="G703" s="12" t="s">
        <v>59</v>
      </c>
      <c r="H703" s="12" t="s">
        <v>59</v>
      </c>
      <c r="I703" s="12" t="s">
        <v>508</v>
      </c>
      <c r="J703" s="11" t="s">
        <v>2765</v>
      </c>
      <c r="K703" s="12" t="s">
        <v>62</v>
      </c>
      <c r="L703" s="12" t="s">
        <v>510</v>
      </c>
    </row>
    <row r="704" spans="1:12" ht="26.4" x14ac:dyDescent="0.3">
      <c r="A704" s="10" t="s">
        <v>2768</v>
      </c>
      <c r="B704" s="11" t="s">
        <v>16</v>
      </c>
      <c r="C704" s="11" t="s">
        <v>2769</v>
      </c>
      <c r="D704" s="11" t="s">
        <v>2770</v>
      </c>
      <c r="E704" s="11" t="s">
        <v>2771</v>
      </c>
      <c r="F704" s="11" t="s">
        <v>2772</v>
      </c>
      <c r="G704" s="12" t="s">
        <v>59</v>
      </c>
      <c r="H704" s="12" t="s">
        <v>59</v>
      </c>
      <c r="I704" s="12" t="s">
        <v>508</v>
      </c>
      <c r="J704" s="11" t="s">
        <v>2773</v>
      </c>
      <c r="K704" s="12" t="s">
        <v>62</v>
      </c>
      <c r="L704" s="12" t="s">
        <v>510</v>
      </c>
    </row>
    <row r="705" spans="1:12" ht="26.4" x14ac:dyDescent="0.3">
      <c r="A705" s="10" t="s">
        <v>2774</v>
      </c>
      <c r="B705" s="11" t="s">
        <v>16</v>
      </c>
      <c r="C705" s="11" t="s">
        <v>2769</v>
      </c>
      <c r="D705" s="11" t="s">
        <v>2770</v>
      </c>
      <c r="E705" s="11" t="s">
        <v>2775</v>
      </c>
      <c r="F705" s="11" t="s">
        <v>2772</v>
      </c>
      <c r="G705" s="12" t="s">
        <v>59</v>
      </c>
      <c r="H705" s="12" t="s">
        <v>59</v>
      </c>
      <c r="I705" s="12" t="s">
        <v>508</v>
      </c>
      <c r="J705" s="11" t="s">
        <v>2773</v>
      </c>
      <c r="K705" s="12" t="s">
        <v>62</v>
      </c>
      <c r="L705" s="12" t="s">
        <v>510</v>
      </c>
    </row>
    <row r="706" spans="1:12" ht="26.4" x14ac:dyDescent="0.3">
      <c r="A706" s="10" t="s">
        <v>2776</v>
      </c>
      <c r="B706" s="11" t="s">
        <v>16</v>
      </c>
      <c r="C706" s="11" t="s">
        <v>2769</v>
      </c>
      <c r="D706" s="11" t="s">
        <v>2770</v>
      </c>
      <c r="E706" s="11" t="s">
        <v>2777</v>
      </c>
      <c r="F706" s="11" t="s">
        <v>2772</v>
      </c>
      <c r="G706" s="12" t="s">
        <v>59</v>
      </c>
      <c r="H706" s="12" t="s">
        <v>59</v>
      </c>
      <c r="I706" s="12" t="s">
        <v>508</v>
      </c>
      <c r="J706" s="11" t="s">
        <v>2773</v>
      </c>
      <c r="K706" s="12" t="s">
        <v>62</v>
      </c>
      <c r="L706" s="12" t="s">
        <v>510</v>
      </c>
    </row>
    <row r="707" spans="1:12" ht="26.4" x14ac:dyDescent="0.3">
      <c r="A707" s="10" t="s">
        <v>2778</v>
      </c>
      <c r="B707" s="11" t="s">
        <v>16</v>
      </c>
      <c r="C707" s="11" t="s">
        <v>2769</v>
      </c>
      <c r="D707" s="11" t="s">
        <v>2770</v>
      </c>
      <c r="E707" s="11" t="s">
        <v>2779</v>
      </c>
      <c r="F707" s="11" t="s">
        <v>2772</v>
      </c>
      <c r="G707" s="12" t="s">
        <v>59</v>
      </c>
      <c r="H707" s="12" t="s">
        <v>59</v>
      </c>
      <c r="I707" s="12" t="s">
        <v>508</v>
      </c>
      <c r="J707" s="11" t="s">
        <v>2773</v>
      </c>
      <c r="K707" s="12" t="s">
        <v>62</v>
      </c>
      <c r="L707" s="12" t="s">
        <v>510</v>
      </c>
    </row>
    <row r="708" spans="1:12" ht="26.4" x14ac:dyDescent="0.3">
      <c r="A708" s="10" t="s">
        <v>2780</v>
      </c>
      <c r="B708" s="11" t="s">
        <v>16</v>
      </c>
      <c r="C708" s="11" t="s">
        <v>2769</v>
      </c>
      <c r="D708" s="11" t="s">
        <v>2770</v>
      </c>
      <c r="E708" s="11" t="s">
        <v>2781</v>
      </c>
      <c r="F708" s="11" t="s">
        <v>2772</v>
      </c>
      <c r="G708" s="12" t="s">
        <v>59</v>
      </c>
      <c r="H708" s="12" t="s">
        <v>59</v>
      </c>
      <c r="I708" s="12" t="s">
        <v>508</v>
      </c>
      <c r="J708" s="11" t="s">
        <v>2773</v>
      </c>
      <c r="K708" s="12" t="s">
        <v>62</v>
      </c>
      <c r="L708" s="12" t="s">
        <v>510</v>
      </c>
    </row>
    <row r="709" spans="1:12" ht="26.4" x14ac:dyDescent="0.3">
      <c r="A709" s="10" t="s">
        <v>2782</v>
      </c>
      <c r="B709" s="11" t="s">
        <v>16</v>
      </c>
      <c r="C709" s="11" t="s">
        <v>2769</v>
      </c>
      <c r="D709" s="11" t="s">
        <v>2770</v>
      </c>
      <c r="E709" s="11" t="s">
        <v>2783</v>
      </c>
      <c r="F709" s="11" t="s">
        <v>2772</v>
      </c>
      <c r="G709" s="12" t="s">
        <v>59</v>
      </c>
      <c r="H709" s="12" t="s">
        <v>59</v>
      </c>
      <c r="I709" s="12" t="s">
        <v>508</v>
      </c>
      <c r="J709" s="11" t="s">
        <v>2773</v>
      </c>
      <c r="K709" s="12" t="s">
        <v>62</v>
      </c>
      <c r="L709" s="12" t="s">
        <v>510</v>
      </c>
    </row>
    <row r="710" spans="1:12" ht="26.4" x14ac:dyDescent="0.3">
      <c r="A710" s="10" t="s">
        <v>2784</v>
      </c>
      <c r="B710" s="11" t="s">
        <v>16</v>
      </c>
      <c r="C710" s="11" t="s">
        <v>2769</v>
      </c>
      <c r="D710" s="11" t="s">
        <v>2770</v>
      </c>
      <c r="E710" s="11" t="s">
        <v>2785</v>
      </c>
      <c r="F710" s="11" t="s">
        <v>2772</v>
      </c>
      <c r="G710" s="12" t="s">
        <v>59</v>
      </c>
      <c r="H710" s="12" t="s">
        <v>59</v>
      </c>
      <c r="I710" s="12" t="s">
        <v>508</v>
      </c>
      <c r="J710" s="11" t="s">
        <v>2773</v>
      </c>
      <c r="K710" s="12" t="s">
        <v>62</v>
      </c>
      <c r="L710" s="12" t="s">
        <v>510</v>
      </c>
    </row>
    <row r="711" spans="1:12" ht="26.4" x14ac:dyDescent="0.3">
      <c r="A711" s="10" t="s">
        <v>2786</v>
      </c>
      <c r="B711" s="11" t="s">
        <v>16</v>
      </c>
      <c r="C711" s="11" t="s">
        <v>2769</v>
      </c>
      <c r="D711" s="11" t="s">
        <v>2770</v>
      </c>
      <c r="E711" s="11" t="s">
        <v>2787</v>
      </c>
      <c r="F711" s="11" t="s">
        <v>2772</v>
      </c>
      <c r="G711" s="12" t="s">
        <v>59</v>
      </c>
      <c r="H711" s="12" t="s">
        <v>59</v>
      </c>
      <c r="I711" s="12" t="s">
        <v>508</v>
      </c>
      <c r="J711" s="11" t="s">
        <v>2773</v>
      </c>
      <c r="K711" s="12" t="s">
        <v>62</v>
      </c>
      <c r="L711" s="12" t="s">
        <v>510</v>
      </c>
    </row>
    <row r="712" spans="1:12" ht="26.4" x14ac:dyDescent="0.3">
      <c r="A712" s="10" t="s">
        <v>2788</v>
      </c>
      <c r="B712" s="11" t="s">
        <v>16</v>
      </c>
      <c r="C712" s="11" t="s">
        <v>2769</v>
      </c>
      <c r="D712" s="11" t="s">
        <v>2770</v>
      </c>
      <c r="E712" s="11" t="s">
        <v>2789</v>
      </c>
      <c r="F712" s="11" t="s">
        <v>2772</v>
      </c>
      <c r="G712" s="12" t="s">
        <v>59</v>
      </c>
      <c r="H712" s="12" t="s">
        <v>59</v>
      </c>
      <c r="I712" s="12" t="s">
        <v>508</v>
      </c>
      <c r="J712" s="11" t="s">
        <v>2773</v>
      </c>
      <c r="K712" s="12" t="s">
        <v>62</v>
      </c>
      <c r="L712" s="12" t="s">
        <v>510</v>
      </c>
    </row>
    <row r="713" spans="1:12" ht="26.4" x14ac:dyDescent="0.3">
      <c r="A713" s="10" t="s">
        <v>2790</v>
      </c>
      <c r="B713" s="11" t="s">
        <v>16</v>
      </c>
      <c r="C713" s="11" t="s">
        <v>2769</v>
      </c>
      <c r="D713" s="11" t="s">
        <v>2770</v>
      </c>
      <c r="E713" s="11" t="s">
        <v>2791</v>
      </c>
      <c r="F713" s="11" t="s">
        <v>2772</v>
      </c>
      <c r="G713" s="12" t="s">
        <v>59</v>
      </c>
      <c r="H713" s="12" t="s">
        <v>59</v>
      </c>
      <c r="I713" s="12" t="s">
        <v>508</v>
      </c>
      <c r="J713" s="11" t="s">
        <v>2773</v>
      </c>
      <c r="K713" s="12" t="s">
        <v>62</v>
      </c>
      <c r="L713" s="12" t="s">
        <v>510</v>
      </c>
    </row>
    <row r="714" spans="1:12" ht="26.4" x14ac:dyDescent="0.3">
      <c r="A714" s="10" t="s">
        <v>2792</v>
      </c>
      <c r="B714" s="11" t="s">
        <v>16</v>
      </c>
      <c r="C714" s="11" t="s">
        <v>2793</v>
      </c>
      <c r="D714" s="11" t="s">
        <v>2794</v>
      </c>
      <c r="E714" s="11" t="s">
        <v>2795</v>
      </c>
      <c r="F714" s="11" t="s">
        <v>2796</v>
      </c>
      <c r="G714" s="12" t="s">
        <v>59</v>
      </c>
      <c r="H714" s="12" t="s">
        <v>59</v>
      </c>
      <c r="I714" s="12" t="s">
        <v>508</v>
      </c>
      <c r="J714" s="11" t="s">
        <v>2797</v>
      </c>
      <c r="K714" s="12" t="s">
        <v>62</v>
      </c>
      <c r="L714" s="12" t="s">
        <v>510</v>
      </c>
    </row>
    <row r="715" spans="1:12" ht="26.4" x14ac:dyDescent="0.3">
      <c r="A715" s="10" t="s">
        <v>2798</v>
      </c>
      <c r="B715" s="11" t="s">
        <v>16</v>
      </c>
      <c r="C715" s="11" t="s">
        <v>2793</v>
      </c>
      <c r="D715" s="11" t="s">
        <v>2794</v>
      </c>
      <c r="E715" s="11" t="s">
        <v>2799</v>
      </c>
      <c r="F715" s="11" t="s">
        <v>2796</v>
      </c>
      <c r="G715" s="12" t="s">
        <v>59</v>
      </c>
      <c r="H715" s="12" t="s">
        <v>59</v>
      </c>
      <c r="I715" s="12" t="s">
        <v>508</v>
      </c>
      <c r="J715" s="11" t="s">
        <v>2797</v>
      </c>
      <c r="K715" s="12" t="s">
        <v>62</v>
      </c>
      <c r="L715" s="12" t="s">
        <v>510</v>
      </c>
    </row>
    <row r="716" spans="1:12" ht="26.4" x14ac:dyDescent="0.3">
      <c r="A716" s="10" t="s">
        <v>2800</v>
      </c>
      <c r="B716" s="11" t="s">
        <v>16</v>
      </c>
      <c r="C716" s="11" t="s">
        <v>2793</v>
      </c>
      <c r="D716" s="11" t="s">
        <v>2794</v>
      </c>
      <c r="E716" s="11" t="s">
        <v>2801</v>
      </c>
      <c r="F716" s="11" t="s">
        <v>2796</v>
      </c>
      <c r="G716" s="12" t="s">
        <v>59</v>
      </c>
      <c r="H716" s="12" t="s">
        <v>59</v>
      </c>
      <c r="I716" s="12" t="s">
        <v>508</v>
      </c>
      <c r="J716" s="11" t="s">
        <v>2797</v>
      </c>
      <c r="K716" s="12" t="s">
        <v>62</v>
      </c>
      <c r="L716" s="12" t="s">
        <v>510</v>
      </c>
    </row>
    <row r="717" spans="1:12" ht="26.4" x14ac:dyDescent="0.3">
      <c r="A717" s="10" t="s">
        <v>2802</v>
      </c>
      <c r="B717" s="11" t="s">
        <v>16</v>
      </c>
      <c r="C717" s="11" t="s">
        <v>2803</v>
      </c>
      <c r="D717" s="11" t="s">
        <v>2804</v>
      </c>
      <c r="E717" s="11" t="s">
        <v>1344</v>
      </c>
      <c r="F717" s="11" t="s">
        <v>1345</v>
      </c>
      <c r="G717" s="12" t="s">
        <v>59</v>
      </c>
      <c r="H717" s="12" t="s">
        <v>59</v>
      </c>
      <c r="I717" s="12" t="s">
        <v>508</v>
      </c>
      <c r="J717" s="11" t="s">
        <v>2805</v>
      </c>
      <c r="K717" s="12" t="s">
        <v>62</v>
      </c>
      <c r="L717" s="12" t="s">
        <v>510</v>
      </c>
    </row>
    <row r="718" spans="1:12" ht="26.4" x14ac:dyDescent="0.3">
      <c r="A718" s="10" t="s">
        <v>2806</v>
      </c>
      <c r="B718" s="11" t="s">
        <v>16</v>
      </c>
      <c r="C718" s="11" t="s">
        <v>2803</v>
      </c>
      <c r="D718" s="11" t="s">
        <v>2804</v>
      </c>
      <c r="E718" s="11" t="s">
        <v>2807</v>
      </c>
      <c r="F718" s="11" t="s">
        <v>1345</v>
      </c>
      <c r="G718" s="12" t="s">
        <v>59</v>
      </c>
      <c r="H718" s="12" t="s">
        <v>59</v>
      </c>
      <c r="I718" s="12" t="s">
        <v>508</v>
      </c>
      <c r="J718" s="11" t="s">
        <v>2805</v>
      </c>
      <c r="K718" s="12" t="s">
        <v>62</v>
      </c>
      <c r="L718" s="12" t="s">
        <v>510</v>
      </c>
    </row>
    <row r="719" spans="1:12" ht="26.4" x14ac:dyDescent="0.3">
      <c r="A719" s="10" t="s">
        <v>2808</v>
      </c>
      <c r="B719" s="11" t="s">
        <v>16</v>
      </c>
      <c r="C719" s="11" t="s">
        <v>2803</v>
      </c>
      <c r="D719" s="11" t="s">
        <v>2804</v>
      </c>
      <c r="E719" s="11" t="s">
        <v>1350</v>
      </c>
      <c r="F719" s="11" t="s">
        <v>1345</v>
      </c>
      <c r="G719" s="12" t="s">
        <v>59</v>
      </c>
      <c r="H719" s="12" t="s">
        <v>59</v>
      </c>
      <c r="I719" s="12" t="s">
        <v>508</v>
      </c>
      <c r="J719" s="11" t="s">
        <v>2805</v>
      </c>
      <c r="K719" s="12" t="s">
        <v>62</v>
      </c>
      <c r="L719" s="12" t="s">
        <v>510</v>
      </c>
    </row>
    <row r="720" spans="1:12" ht="26.4" x14ac:dyDescent="0.3">
      <c r="A720" s="10" t="s">
        <v>2809</v>
      </c>
      <c r="B720" s="11" t="s">
        <v>16</v>
      </c>
      <c r="C720" s="11" t="s">
        <v>2803</v>
      </c>
      <c r="D720" s="11" t="s">
        <v>2804</v>
      </c>
      <c r="E720" s="11" t="s">
        <v>2810</v>
      </c>
      <c r="F720" s="11" t="s">
        <v>1355</v>
      </c>
      <c r="G720" s="12" t="s">
        <v>59</v>
      </c>
      <c r="H720" s="12" t="s">
        <v>59</v>
      </c>
      <c r="I720" s="12" t="s">
        <v>508</v>
      </c>
      <c r="J720" s="11" t="s">
        <v>2805</v>
      </c>
      <c r="K720" s="12" t="s">
        <v>62</v>
      </c>
      <c r="L720" s="12" t="s">
        <v>510</v>
      </c>
    </row>
    <row r="721" spans="1:12" ht="26.4" x14ac:dyDescent="0.3">
      <c r="A721" s="10" t="s">
        <v>2811</v>
      </c>
      <c r="B721" s="11" t="s">
        <v>16</v>
      </c>
      <c r="C721" s="11" t="s">
        <v>2803</v>
      </c>
      <c r="D721" s="11" t="s">
        <v>2804</v>
      </c>
      <c r="E721" s="11" t="s">
        <v>2812</v>
      </c>
      <c r="F721" s="11" t="s">
        <v>1355</v>
      </c>
      <c r="G721" s="12" t="s">
        <v>59</v>
      </c>
      <c r="H721" s="12" t="s">
        <v>59</v>
      </c>
      <c r="I721" s="12" t="s">
        <v>508</v>
      </c>
      <c r="J721" s="11" t="s">
        <v>2805</v>
      </c>
      <c r="K721" s="12" t="s">
        <v>62</v>
      </c>
      <c r="L721" s="12" t="s">
        <v>510</v>
      </c>
    </row>
    <row r="722" spans="1:12" ht="26.4" x14ac:dyDescent="0.3">
      <c r="A722" s="10" t="s">
        <v>2813</v>
      </c>
      <c r="B722" s="11" t="s">
        <v>16</v>
      </c>
      <c r="C722" s="11" t="s">
        <v>2803</v>
      </c>
      <c r="D722" s="11" t="s">
        <v>2804</v>
      </c>
      <c r="E722" s="11" t="s">
        <v>2814</v>
      </c>
      <c r="F722" s="11" t="s">
        <v>1355</v>
      </c>
      <c r="G722" s="12" t="s">
        <v>59</v>
      </c>
      <c r="H722" s="12" t="s">
        <v>59</v>
      </c>
      <c r="I722" s="12" t="s">
        <v>508</v>
      </c>
      <c r="J722" s="11" t="s">
        <v>2805</v>
      </c>
      <c r="K722" s="12" t="s">
        <v>62</v>
      </c>
      <c r="L722" s="12" t="s">
        <v>510</v>
      </c>
    </row>
    <row r="723" spans="1:12" ht="26.4" x14ac:dyDescent="0.3">
      <c r="A723" s="10" t="s">
        <v>2815</v>
      </c>
      <c r="B723" s="11" t="s">
        <v>16</v>
      </c>
      <c r="C723" s="11" t="s">
        <v>2803</v>
      </c>
      <c r="D723" s="11" t="s">
        <v>2804</v>
      </c>
      <c r="E723" s="11" t="s">
        <v>2816</v>
      </c>
      <c r="F723" s="11" t="s">
        <v>1355</v>
      </c>
      <c r="G723" s="12" t="s">
        <v>59</v>
      </c>
      <c r="H723" s="12" t="s">
        <v>59</v>
      </c>
      <c r="I723" s="12" t="s">
        <v>508</v>
      </c>
      <c r="J723" s="11" t="s">
        <v>2805</v>
      </c>
      <c r="K723" s="12" t="s">
        <v>62</v>
      </c>
      <c r="L723" s="12" t="s">
        <v>510</v>
      </c>
    </row>
    <row r="724" spans="1:12" ht="26.4" x14ac:dyDescent="0.3">
      <c r="A724" s="10" t="s">
        <v>2817</v>
      </c>
      <c r="B724" s="11" t="s">
        <v>16</v>
      </c>
      <c r="C724" s="11" t="s">
        <v>2803</v>
      </c>
      <c r="D724" s="11" t="s">
        <v>2804</v>
      </c>
      <c r="E724" s="11" t="s">
        <v>2818</v>
      </c>
      <c r="F724" s="11" t="s">
        <v>1355</v>
      </c>
      <c r="G724" s="12" t="s">
        <v>59</v>
      </c>
      <c r="H724" s="12" t="s">
        <v>59</v>
      </c>
      <c r="I724" s="12" t="s">
        <v>508</v>
      </c>
      <c r="J724" s="11" t="s">
        <v>2805</v>
      </c>
      <c r="K724" s="12" t="s">
        <v>62</v>
      </c>
      <c r="L724" s="12" t="s">
        <v>510</v>
      </c>
    </row>
    <row r="725" spans="1:12" ht="26.4" x14ac:dyDescent="0.3">
      <c r="A725" s="10" t="s">
        <v>2819</v>
      </c>
      <c r="B725" s="11" t="s">
        <v>16</v>
      </c>
      <c r="C725" s="11" t="s">
        <v>2820</v>
      </c>
      <c r="D725" s="11" t="s">
        <v>2821</v>
      </c>
      <c r="E725" s="11" t="s">
        <v>2822</v>
      </c>
      <c r="F725" s="11" t="s">
        <v>2823</v>
      </c>
      <c r="G725" s="12" t="s">
        <v>59</v>
      </c>
      <c r="H725" s="12" t="s">
        <v>59</v>
      </c>
      <c r="I725" s="12" t="s">
        <v>508</v>
      </c>
      <c r="J725" s="11" t="s">
        <v>2824</v>
      </c>
      <c r="K725" s="12" t="s">
        <v>62</v>
      </c>
      <c r="L725" s="12" t="s">
        <v>510</v>
      </c>
    </row>
    <row r="726" spans="1:12" ht="26.4" x14ac:dyDescent="0.3">
      <c r="A726" s="10" t="s">
        <v>2825</v>
      </c>
      <c r="B726" s="11" t="s">
        <v>16</v>
      </c>
      <c r="C726" s="11" t="s">
        <v>2820</v>
      </c>
      <c r="D726" s="11" t="s">
        <v>2821</v>
      </c>
      <c r="E726" s="11" t="s">
        <v>2826</v>
      </c>
      <c r="F726" s="11" t="s">
        <v>2823</v>
      </c>
      <c r="G726" s="12" t="s">
        <v>59</v>
      </c>
      <c r="H726" s="12" t="s">
        <v>59</v>
      </c>
      <c r="I726" s="12" t="s">
        <v>508</v>
      </c>
      <c r="J726" s="11" t="s">
        <v>2824</v>
      </c>
      <c r="K726" s="12" t="s">
        <v>62</v>
      </c>
      <c r="L726" s="12" t="s">
        <v>510</v>
      </c>
    </row>
    <row r="727" spans="1:12" ht="26.4" x14ac:dyDescent="0.3">
      <c r="A727" s="10" t="s">
        <v>2827</v>
      </c>
      <c r="B727" s="11" t="s">
        <v>16</v>
      </c>
      <c r="C727" s="11" t="s">
        <v>2820</v>
      </c>
      <c r="D727" s="11" t="s">
        <v>2821</v>
      </c>
      <c r="E727" s="11" t="s">
        <v>2828</v>
      </c>
      <c r="F727" s="11" t="s">
        <v>2823</v>
      </c>
      <c r="G727" s="12" t="s">
        <v>59</v>
      </c>
      <c r="H727" s="12" t="s">
        <v>59</v>
      </c>
      <c r="I727" s="12" t="s">
        <v>508</v>
      </c>
      <c r="J727" s="11" t="s">
        <v>2824</v>
      </c>
      <c r="K727" s="12" t="s">
        <v>62</v>
      </c>
      <c r="L727" s="12" t="s">
        <v>510</v>
      </c>
    </row>
    <row r="728" spans="1:12" ht="26.4" x14ac:dyDescent="0.3">
      <c r="A728" s="10" t="s">
        <v>2829</v>
      </c>
      <c r="B728" s="11" t="s">
        <v>16</v>
      </c>
      <c r="C728" s="11" t="s">
        <v>2820</v>
      </c>
      <c r="D728" s="11" t="s">
        <v>2821</v>
      </c>
      <c r="E728" s="11" t="s">
        <v>2830</v>
      </c>
      <c r="F728" s="11" t="s">
        <v>2823</v>
      </c>
      <c r="G728" s="12" t="s">
        <v>59</v>
      </c>
      <c r="H728" s="12" t="s">
        <v>59</v>
      </c>
      <c r="I728" s="12" t="s">
        <v>508</v>
      </c>
      <c r="J728" s="11" t="s">
        <v>2824</v>
      </c>
      <c r="K728" s="12" t="s">
        <v>62</v>
      </c>
      <c r="L728" s="12" t="s">
        <v>510</v>
      </c>
    </row>
    <row r="729" spans="1:12" ht="26.4" x14ac:dyDescent="0.3">
      <c r="A729" s="10" t="s">
        <v>2831</v>
      </c>
      <c r="B729" s="11" t="s">
        <v>16</v>
      </c>
      <c r="C729" s="11" t="s">
        <v>2832</v>
      </c>
      <c r="D729" s="11" t="s">
        <v>2833</v>
      </c>
      <c r="E729" s="11" t="s">
        <v>2834</v>
      </c>
      <c r="F729" s="11" t="s">
        <v>2835</v>
      </c>
      <c r="G729" s="12" t="s">
        <v>59</v>
      </c>
      <c r="H729" s="12" t="s">
        <v>59</v>
      </c>
      <c r="I729" s="12" t="s">
        <v>508</v>
      </c>
      <c r="J729" s="11" t="s">
        <v>2836</v>
      </c>
      <c r="K729" s="12" t="s">
        <v>62</v>
      </c>
      <c r="L729" s="12" t="s">
        <v>510</v>
      </c>
    </row>
    <row r="730" spans="1:12" ht="26.4" x14ac:dyDescent="0.3">
      <c r="A730" s="10" t="s">
        <v>2837</v>
      </c>
      <c r="B730" s="11" t="s">
        <v>16</v>
      </c>
      <c r="C730" s="11" t="s">
        <v>2832</v>
      </c>
      <c r="D730" s="11" t="s">
        <v>2833</v>
      </c>
      <c r="E730" s="11" t="s">
        <v>2838</v>
      </c>
      <c r="F730" s="11" t="s">
        <v>2835</v>
      </c>
      <c r="G730" s="12" t="s">
        <v>59</v>
      </c>
      <c r="H730" s="12" t="s">
        <v>59</v>
      </c>
      <c r="I730" s="12" t="s">
        <v>508</v>
      </c>
      <c r="J730" s="11" t="s">
        <v>2836</v>
      </c>
      <c r="K730" s="12" t="s">
        <v>62</v>
      </c>
      <c r="L730" s="12" t="s">
        <v>510</v>
      </c>
    </row>
    <row r="731" spans="1:12" ht="26.4" x14ac:dyDescent="0.3">
      <c r="A731" s="10" t="s">
        <v>2839</v>
      </c>
      <c r="B731" s="11" t="s">
        <v>16</v>
      </c>
      <c r="C731" s="11" t="s">
        <v>2832</v>
      </c>
      <c r="D731" s="11" t="s">
        <v>2833</v>
      </c>
      <c r="E731" s="11" t="s">
        <v>2840</v>
      </c>
      <c r="F731" s="11" t="s">
        <v>2835</v>
      </c>
      <c r="G731" s="12" t="s">
        <v>59</v>
      </c>
      <c r="H731" s="12" t="s">
        <v>59</v>
      </c>
      <c r="I731" s="12" t="s">
        <v>508</v>
      </c>
      <c r="J731" s="11" t="s">
        <v>2836</v>
      </c>
      <c r="K731" s="12" t="s">
        <v>62</v>
      </c>
      <c r="L731" s="12" t="s">
        <v>510</v>
      </c>
    </row>
    <row r="732" spans="1:12" ht="26.4" x14ac:dyDescent="0.3">
      <c r="A732" s="10" t="s">
        <v>2841</v>
      </c>
      <c r="B732" s="11" t="s">
        <v>16</v>
      </c>
      <c r="C732" s="11" t="s">
        <v>2842</v>
      </c>
      <c r="D732" s="11" t="s">
        <v>2843</v>
      </c>
      <c r="E732" s="11" t="s">
        <v>2844</v>
      </c>
      <c r="F732" s="11" t="s">
        <v>2845</v>
      </c>
      <c r="G732" s="12" t="s">
        <v>59</v>
      </c>
      <c r="H732" s="12" t="s">
        <v>59</v>
      </c>
      <c r="I732" s="12" t="s">
        <v>508</v>
      </c>
      <c r="J732" s="11" t="s">
        <v>2846</v>
      </c>
      <c r="K732" s="12" t="s">
        <v>62</v>
      </c>
      <c r="L732" s="12" t="s">
        <v>510</v>
      </c>
    </row>
    <row r="733" spans="1:12" ht="26.4" x14ac:dyDescent="0.3">
      <c r="A733" s="10" t="s">
        <v>2847</v>
      </c>
      <c r="B733" s="11" t="s">
        <v>16</v>
      </c>
      <c r="C733" s="11" t="s">
        <v>2842</v>
      </c>
      <c r="D733" s="11" t="s">
        <v>2843</v>
      </c>
      <c r="E733" s="11" t="s">
        <v>2848</v>
      </c>
      <c r="F733" s="11" t="s">
        <v>2845</v>
      </c>
      <c r="G733" s="12" t="s">
        <v>59</v>
      </c>
      <c r="H733" s="12" t="s">
        <v>59</v>
      </c>
      <c r="I733" s="12" t="s">
        <v>508</v>
      </c>
      <c r="J733" s="11" t="s">
        <v>2846</v>
      </c>
      <c r="K733" s="12" t="s">
        <v>62</v>
      </c>
      <c r="L733" s="12" t="s">
        <v>510</v>
      </c>
    </row>
    <row r="734" spans="1:12" ht="26.4" x14ac:dyDescent="0.3">
      <c r="A734" s="10" t="s">
        <v>2849</v>
      </c>
      <c r="B734" s="11" t="s">
        <v>16</v>
      </c>
      <c r="C734" s="11" t="s">
        <v>2842</v>
      </c>
      <c r="D734" s="11" t="s">
        <v>2843</v>
      </c>
      <c r="E734" s="11" t="s">
        <v>2850</v>
      </c>
      <c r="F734" s="11" t="s">
        <v>2845</v>
      </c>
      <c r="G734" s="12" t="s">
        <v>59</v>
      </c>
      <c r="H734" s="12" t="s">
        <v>59</v>
      </c>
      <c r="I734" s="12" t="s">
        <v>508</v>
      </c>
      <c r="J734" s="11" t="s">
        <v>2846</v>
      </c>
      <c r="K734" s="12" t="s">
        <v>62</v>
      </c>
      <c r="L734" s="12" t="s">
        <v>510</v>
      </c>
    </row>
    <row r="735" spans="1:12" ht="26.4" x14ac:dyDescent="0.3">
      <c r="A735" s="10" t="s">
        <v>2851</v>
      </c>
      <c r="B735" s="11" t="s">
        <v>16</v>
      </c>
      <c r="C735" s="11" t="s">
        <v>2842</v>
      </c>
      <c r="D735" s="11" t="s">
        <v>2843</v>
      </c>
      <c r="E735" s="11" t="s">
        <v>2852</v>
      </c>
      <c r="F735" s="11" t="s">
        <v>2845</v>
      </c>
      <c r="G735" s="12" t="s">
        <v>59</v>
      </c>
      <c r="H735" s="12" t="s">
        <v>59</v>
      </c>
      <c r="I735" s="12" t="s">
        <v>508</v>
      </c>
      <c r="J735" s="11" t="s">
        <v>2846</v>
      </c>
      <c r="K735" s="12" t="s">
        <v>62</v>
      </c>
      <c r="L735" s="12" t="s">
        <v>510</v>
      </c>
    </row>
    <row r="736" spans="1:12" ht="26.4" x14ac:dyDescent="0.3">
      <c r="A736" s="10" t="s">
        <v>2853</v>
      </c>
      <c r="B736" s="11" t="s">
        <v>16</v>
      </c>
      <c r="C736" s="11" t="s">
        <v>2842</v>
      </c>
      <c r="D736" s="11" t="s">
        <v>2843</v>
      </c>
      <c r="E736" s="11" t="s">
        <v>2854</v>
      </c>
      <c r="F736" s="11" t="s">
        <v>2845</v>
      </c>
      <c r="G736" s="12" t="s">
        <v>59</v>
      </c>
      <c r="H736" s="12" t="s">
        <v>59</v>
      </c>
      <c r="I736" s="12" t="s">
        <v>508</v>
      </c>
      <c r="J736" s="11" t="s">
        <v>2846</v>
      </c>
      <c r="K736" s="12" t="s">
        <v>62</v>
      </c>
      <c r="L736" s="12" t="s">
        <v>510</v>
      </c>
    </row>
    <row r="737" spans="1:12" ht="26.4" x14ac:dyDescent="0.3">
      <c r="A737" s="10" t="s">
        <v>2855</v>
      </c>
      <c r="B737" s="11" t="s">
        <v>16</v>
      </c>
      <c r="C737" s="11" t="s">
        <v>2842</v>
      </c>
      <c r="D737" s="11" t="s">
        <v>2843</v>
      </c>
      <c r="E737" s="11" t="s">
        <v>2856</v>
      </c>
      <c r="F737" s="11" t="s">
        <v>2845</v>
      </c>
      <c r="G737" s="12" t="s">
        <v>59</v>
      </c>
      <c r="H737" s="12" t="s">
        <v>59</v>
      </c>
      <c r="I737" s="12" t="s">
        <v>508</v>
      </c>
      <c r="J737" s="11" t="s">
        <v>2846</v>
      </c>
      <c r="K737" s="12" t="s">
        <v>62</v>
      </c>
      <c r="L737" s="12" t="s">
        <v>510</v>
      </c>
    </row>
    <row r="738" spans="1:12" ht="26.4" x14ac:dyDescent="0.3">
      <c r="A738" s="10" t="s">
        <v>2857</v>
      </c>
      <c r="B738" s="11" t="s">
        <v>16</v>
      </c>
      <c r="C738" s="11" t="s">
        <v>2842</v>
      </c>
      <c r="D738" s="11" t="s">
        <v>2843</v>
      </c>
      <c r="E738" s="11" t="s">
        <v>2858</v>
      </c>
      <c r="F738" s="11" t="s">
        <v>2845</v>
      </c>
      <c r="G738" s="12" t="s">
        <v>59</v>
      </c>
      <c r="H738" s="12" t="s">
        <v>59</v>
      </c>
      <c r="I738" s="12" t="s">
        <v>508</v>
      </c>
      <c r="J738" s="11" t="s">
        <v>2846</v>
      </c>
      <c r="K738" s="12" t="s">
        <v>62</v>
      </c>
      <c r="L738" s="12" t="s">
        <v>510</v>
      </c>
    </row>
    <row r="739" spans="1:12" ht="26.4" x14ac:dyDescent="0.3">
      <c r="A739" s="10" t="s">
        <v>2859</v>
      </c>
      <c r="B739" s="11" t="s">
        <v>16</v>
      </c>
      <c r="C739" s="11" t="s">
        <v>2842</v>
      </c>
      <c r="D739" s="11" t="s">
        <v>2843</v>
      </c>
      <c r="E739" s="11" t="s">
        <v>2860</v>
      </c>
      <c r="F739" s="11" t="s">
        <v>2845</v>
      </c>
      <c r="G739" s="12" t="s">
        <v>59</v>
      </c>
      <c r="H739" s="12" t="s">
        <v>59</v>
      </c>
      <c r="I739" s="12" t="s">
        <v>508</v>
      </c>
      <c r="J739" s="11" t="s">
        <v>2846</v>
      </c>
      <c r="K739" s="12" t="s">
        <v>62</v>
      </c>
      <c r="L739" s="12" t="s">
        <v>510</v>
      </c>
    </row>
    <row r="740" spans="1:12" ht="26.4" x14ac:dyDescent="0.3">
      <c r="A740" s="10" t="s">
        <v>2861</v>
      </c>
      <c r="B740" s="11" t="s">
        <v>16</v>
      </c>
      <c r="C740" s="11" t="s">
        <v>2862</v>
      </c>
      <c r="D740" s="11" t="s">
        <v>2863</v>
      </c>
      <c r="E740" s="11" t="s">
        <v>2864</v>
      </c>
      <c r="F740" s="11" t="s">
        <v>1355</v>
      </c>
      <c r="G740" s="12" t="s">
        <v>59</v>
      </c>
      <c r="H740" s="12" t="s">
        <v>59</v>
      </c>
      <c r="I740" s="12" t="s">
        <v>508</v>
      </c>
      <c r="J740" s="11" t="s">
        <v>2865</v>
      </c>
      <c r="K740" s="12" t="s">
        <v>62</v>
      </c>
      <c r="L740" s="12" t="s">
        <v>510</v>
      </c>
    </row>
    <row r="741" spans="1:12" ht="26.4" x14ac:dyDescent="0.3">
      <c r="A741" s="10" t="s">
        <v>2866</v>
      </c>
      <c r="B741" s="11" t="s">
        <v>16</v>
      </c>
      <c r="C741" s="11" t="s">
        <v>2867</v>
      </c>
      <c r="D741" s="11" t="s">
        <v>2863</v>
      </c>
      <c r="E741" s="11" t="s">
        <v>2868</v>
      </c>
      <c r="F741" s="11" t="s">
        <v>1355</v>
      </c>
      <c r="G741" s="12" t="s">
        <v>59</v>
      </c>
      <c r="H741" s="12" t="s">
        <v>59</v>
      </c>
      <c r="I741" s="12" t="s">
        <v>508</v>
      </c>
      <c r="J741" s="11" t="s">
        <v>2865</v>
      </c>
      <c r="K741" s="12" t="s">
        <v>62</v>
      </c>
      <c r="L741" s="12" t="s">
        <v>510</v>
      </c>
    </row>
    <row r="742" spans="1:12" ht="26.4" x14ac:dyDescent="0.3">
      <c r="A742" s="10" t="s">
        <v>2869</v>
      </c>
      <c r="B742" s="11" t="s">
        <v>16</v>
      </c>
      <c r="C742" s="11" t="s">
        <v>2870</v>
      </c>
      <c r="D742" s="11" t="s">
        <v>2863</v>
      </c>
      <c r="E742" s="11" t="s">
        <v>2871</v>
      </c>
      <c r="F742" s="11" t="s">
        <v>1355</v>
      </c>
      <c r="G742" s="12" t="s">
        <v>59</v>
      </c>
      <c r="H742" s="12" t="s">
        <v>59</v>
      </c>
      <c r="I742" s="12" t="s">
        <v>508</v>
      </c>
      <c r="J742" s="11" t="s">
        <v>2865</v>
      </c>
      <c r="K742" s="12" t="s">
        <v>62</v>
      </c>
      <c r="L742" s="12" t="s">
        <v>510</v>
      </c>
    </row>
    <row r="743" spans="1:12" ht="26.4" x14ac:dyDescent="0.3">
      <c r="A743" s="10" t="s">
        <v>2872</v>
      </c>
      <c r="B743" s="11" t="s">
        <v>16</v>
      </c>
      <c r="C743" s="11" t="s">
        <v>2873</v>
      </c>
      <c r="D743" s="11" t="s">
        <v>2863</v>
      </c>
      <c r="E743" s="11" t="s">
        <v>2874</v>
      </c>
      <c r="F743" s="11" t="s">
        <v>1355</v>
      </c>
      <c r="G743" s="12" t="s">
        <v>59</v>
      </c>
      <c r="H743" s="12" t="s">
        <v>59</v>
      </c>
      <c r="I743" s="12" t="s">
        <v>508</v>
      </c>
      <c r="J743" s="11" t="s">
        <v>2865</v>
      </c>
      <c r="K743" s="12" t="s">
        <v>62</v>
      </c>
      <c r="L743" s="12" t="s">
        <v>510</v>
      </c>
    </row>
    <row r="744" spans="1:12" ht="26.4" x14ac:dyDescent="0.3">
      <c r="A744" s="10" t="s">
        <v>2875</v>
      </c>
      <c r="B744" s="11" t="s">
        <v>16</v>
      </c>
      <c r="C744" s="11" t="s">
        <v>2876</v>
      </c>
      <c r="D744" s="11" t="s">
        <v>2863</v>
      </c>
      <c r="E744" s="11" t="s">
        <v>2877</v>
      </c>
      <c r="F744" s="11" t="s">
        <v>1355</v>
      </c>
      <c r="G744" s="12" t="s">
        <v>59</v>
      </c>
      <c r="H744" s="12" t="s">
        <v>59</v>
      </c>
      <c r="I744" s="12" t="s">
        <v>508</v>
      </c>
      <c r="J744" s="11" t="s">
        <v>2865</v>
      </c>
      <c r="K744" s="12" t="s">
        <v>62</v>
      </c>
      <c r="L744" s="12" t="s">
        <v>510</v>
      </c>
    </row>
    <row r="745" spans="1:12" ht="26.4" x14ac:dyDescent="0.3">
      <c r="A745" s="10" t="s">
        <v>2878</v>
      </c>
      <c r="B745" s="11" t="s">
        <v>16</v>
      </c>
      <c r="C745" s="11" t="s">
        <v>2879</v>
      </c>
      <c r="D745" s="11" t="s">
        <v>2863</v>
      </c>
      <c r="E745" s="11" t="s">
        <v>2880</v>
      </c>
      <c r="F745" s="11" t="s">
        <v>1345</v>
      </c>
      <c r="G745" s="12" t="s">
        <v>59</v>
      </c>
      <c r="H745" s="12" t="s">
        <v>59</v>
      </c>
      <c r="I745" s="12" t="s">
        <v>508</v>
      </c>
      <c r="J745" s="11" t="s">
        <v>2865</v>
      </c>
      <c r="K745" s="12" t="s">
        <v>62</v>
      </c>
      <c r="L745" s="12" t="s">
        <v>510</v>
      </c>
    </row>
    <row r="746" spans="1:12" ht="26.4" x14ac:dyDescent="0.3">
      <c r="A746" s="10" t="s">
        <v>2881</v>
      </c>
      <c r="B746" s="11" t="s">
        <v>16</v>
      </c>
      <c r="C746" s="11" t="s">
        <v>2882</v>
      </c>
      <c r="D746" s="11" t="s">
        <v>2863</v>
      </c>
      <c r="E746" s="11" t="s">
        <v>2883</v>
      </c>
      <c r="F746" s="11" t="s">
        <v>1345</v>
      </c>
      <c r="G746" s="12" t="s">
        <v>59</v>
      </c>
      <c r="H746" s="12" t="s">
        <v>59</v>
      </c>
      <c r="I746" s="12" t="s">
        <v>508</v>
      </c>
      <c r="J746" s="11" t="s">
        <v>2865</v>
      </c>
      <c r="K746" s="12" t="s">
        <v>62</v>
      </c>
      <c r="L746" s="12" t="s">
        <v>510</v>
      </c>
    </row>
    <row r="747" spans="1:12" ht="26.4" x14ac:dyDescent="0.3">
      <c r="A747" s="10" t="s">
        <v>2884</v>
      </c>
      <c r="B747" s="11" t="s">
        <v>16</v>
      </c>
      <c r="C747" s="11" t="s">
        <v>2885</v>
      </c>
      <c r="D747" s="11" t="s">
        <v>2863</v>
      </c>
      <c r="E747" s="11" t="s">
        <v>2886</v>
      </c>
      <c r="F747" s="11" t="s">
        <v>1345</v>
      </c>
      <c r="G747" s="12" t="s">
        <v>59</v>
      </c>
      <c r="H747" s="12" t="s">
        <v>59</v>
      </c>
      <c r="I747" s="12" t="s">
        <v>508</v>
      </c>
      <c r="J747" s="11" t="s">
        <v>2865</v>
      </c>
      <c r="K747" s="12" t="s">
        <v>62</v>
      </c>
      <c r="L747" s="12" t="s">
        <v>510</v>
      </c>
    </row>
    <row r="748" spans="1:12" ht="26.4" x14ac:dyDescent="0.3">
      <c r="A748" s="10" t="s">
        <v>2887</v>
      </c>
      <c r="B748" s="11" t="s">
        <v>16</v>
      </c>
      <c r="C748" s="11" t="s">
        <v>2888</v>
      </c>
      <c r="D748" s="11" t="s">
        <v>2863</v>
      </c>
      <c r="E748" s="11" t="s">
        <v>2889</v>
      </c>
      <c r="F748" s="11" t="s">
        <v>1345</v>
      </c>
      <c r="G748" s="12" t="s">
        <v>59</v>
      </c>
      <c r="H748" s="12" t="s">
        <v>59</v>
      </c>
      <c r="I748" s="12" t="s">
        <v>508</v>
      </c>
      <c r="J748" s="11" t="s">
        <v>2865</v>
      </c>
      <c r="K748" s="12" t="s">
        <v>62</v>
      </c>
      <c r="L748" s="12" t="s">
        <v>510</v>
      </c>
    </row>
    <row r="749" spans="1:12" ht="26.4" x14ac:dyDescent="0.3">
      <c r="A749" s="10" t="s">
        <v>2890</v>
      </c>
      <c r="B749" s="11" t="s">
        <v>16</v>
      </c>
      <c r="C749" s="11" t="s">
        <v>2891</v>
      </c>
      <c r="D749" s="11" t="s">
        <v>2863</v>
      </c>
      <c r="E749" s="11" t="s">
        <v>2892</v>
      </c>
      <c r="F749" s="11" t="s">
        <v>1345</v>
      </c>
      <c r="G749" s="12" t="s">
        <v>59</v>
      </c>
      <c r="H749" s="12" t="s">
        <v>59</v>
      </c>
      <c r="I749" s="12" t="s">
        <v>508</v>
      </c>
      <c r="J749" s="11" t="s">
        <v>2865</v>
      </c>
      <c r="K749" s="12" t="s">
        <v>62</v>
      </c>
      <c r="L749" s="12" t="s">
        <v>510</v>
      </c>
    </row>
    <row r="750" spans="1:12" ht="26.4" x14ac:dyDescent="0.3">
      <c r="A750" s="10" t="s">
        <v>2893</v>
      </c>
      <c r="B750" s="11" t="s">
        <v>16</v>
      </c>
      <c r="C750" s="11" t="s">
        <v>2894</v>
      </c>
      <c r="D750" s="11" t="s">
        <v>2863</v>
      </c>
      <c r="E750" s="11" t="s">
        <v>2895</v>
      </c>
      <c r="F750" s="11" t="s">
        <v>1345</v>
      </c>
      <c r="G750" s="12" t="s">
        <v>59</v>
      </c>
      <c r="H750" s="12" t="s">
        <v>59</v>
      </c>
      <c r="I750" s="12" t="s">
        <v>508</v>
      </c>
      <c r="J750" s="11" t="s">
        <v>2865</v>
      </c>
      <c r="K750" s="12" t="s">
        <v>62</v>
      </c>
      <c r="L750" s="12" t="s">
        <v>510</v>
      </c>
    </row>
    <row r="751" spans="1:12" ht="26.4" x14ac:dyDescent="0.3">
      <c r="A751" s="10" t="s">
        <v>2896</v>
      </c>
      <c r="B751" s="11" t="s">
        <v>16</v>
      </c>
      <c r="C751" s="11" t="s">
        <v>2897</v>
      </c>
      <c r="D751" s="11" t="s">
        <v>2898</v>
      </c>
      <c r="E751" s="11" t="s">
        <v>2899</v>
      </c>
      <c r="F751" s="11" t="s">
        <v>2900</v>
      </c>
      <c r="G751" s="12" t="s">
        <v>59</v>
      </c>
      <c r="H751" s="12" t="s">
        <v>59</v>
      </c>
      <c r="I751" s="12" t="s">
        <v>508</v>
      </c>
      <c r="J751" s="11" t="s">
        <v>2901</v>
      </c>
      <c r="K751" s="12" t="s">
        <v>62</v>
      </c>
      <c r="L751" s="12" t="s">
        <v>510</v>
      </c>
    </row>
    <row r="752" spans="1:12" ht="26.4" x14ac:dyDescent="0.3">
      <c r="A752" s="10" t="s">
        <v>2902</v>
      </c>
      <c r="B752" s="11" t="s">
        <v>16</v>
      </c>
      <c r="C752" s="11" t="s">
        <v>2903</v>
      </c>
      <c r="D752" s="11" t="s">
        <v>2898</v>
      </c>
      <c r="E752" s="11" t="s">
        <v>2904</v>
      </c>
      <c r="F752" s="11" t="s">
        <v>2900</v>
      </c>
      <c r="G752" s="12" t="s">
        <v>59</v>
      </c>
      <c r="H752" s="12" t="s">
        <v>59</v>
      </c>
      <c r="I752" s="12" t="s">
        <v>508</v>
      </c>
      <c r="J752" s="11" t="s">
        <v>2901</v>
      </c>
      <c r="K752" s="12" t="s">
        <v>62</v>
      </c>
      <c r="L752" s="12" t="s">
        <v>510</v>
      </c>
    </row>
    <row r="753" spans="1:12" ht="26.4" x14ac:dyDescent="0.3">
      <c r="A753" s="10" t="s">
        <v>2905</v>
      </c>
      <c r="B753" s="11" t="s">
        <v>16</v>
      </c>
      <c r="C753" s="11" t="s">
        <v>2906</v>
      </c>
      <c r="D753" s="11" t="s">
        <v>2898</v>
      </c>
      <c r="E753" s="11" t="s">
        <v>2907</v>
      </c>
      <c r="F753" s="11" t="s">
        <v>2900</v>
      </c>
      <c r="G753" s="12" t="s">
        <v>59</v>
      </c>
      <c r="H753" s="12" t="s">
        <v>59</v>
      </c>
      <c r="I753" s="12" t="s">
        <v>508</v>
      </c>
      <c r="J753" s="11" t="s">
        <v>2901</v>
      </c>
      <c r="K753" s="12" t="s">
        <v>62</v>
      </c>
      <c r="L753" s="12" t="s">
        <v>510</v>
      </c>
    </row>
    <row r="754" spans="1:12" ht="26.4" x14ac:dyDescent="0.3">
      <c r="A754" s="10" t="s">
        <v>2908</v>
      </c>
      <c r="B754" s="11" t="s">
        <v>16</v>
      </c>
      <c r="C754" s="11" t="s">
        <v>2909</v>
      </c>
      <c r="D754" s="11" t="s">
        <v>2898</v>
      </c>
      <c r="E754" s="11" t="s">
        <v>2910</v>
      </c>
      <c r="F754" s="11" t="s">
        <v>2900</v>
      </c>
      <c r="G754" s="12" t="s">
        <v>59</v>
      </c>
      <c r="H754" s="12" t="s">
        <v>59</v>
      </c>
      <c r="I754" s="12" t="s">
        <v>508</v>
      </c>
      <c r="J754" s="11" t="s">
        <v>2901</v>
      </c>
      <c r="K754" s="12" t="s">
        <v>62</v>
      </c>
      <c r="L754" s="12" t="s">
        <v>510</v>
      </c>
    </row>
    <row r="755" spans="1:12" ht="26.4" x14ac:dyDescent="0.3">
      <c r="A755" s="10" t="s">
        <v>2911</v>
      </c>
      <c r="B755" s="11" t="s">
        <v>16</v>
      </c>
      <c r="C755" s="11" t="s">
        <v>2912</v>
      </c>
      <c r="D755" s="11" t="s">
        <v>2913</v>
      </c>
      <c r="E755" s="11" t="s">
        <v>2914</v>
      </c>
      <c r="F755" s="11" t="s">
        <v>1355</v>
      </c>
      <c r="G755" s="12" t="s">
        <v>59</v>
      </c>
      <c r="H755" s="12" t="s">
        <v>59</v>
      </c>
      <c r="I755" s="12" t="s">
        <v>508</v>
      </c>
      <c r="J755" s="11" t="s">
        <v>2915</v>
      </c>
      <c r="K755" s="12" t="s">
        <v>62</v>
      </c>
      <c r="L755" s="12" t="s">
        <v>510</v>
      </c>
    </row>
    <row r="756" spans="1:12" ht="26.4" x14ac:dyDescent="0.3">
      <c r="A756" s="10" t="s">
        <v>2916</v>
      </c>
      <c r="B756" s="11" t="s">
        <v>16</v>
      </c>
      <c r="C756" s="11" t="s">
        <v>2917</v>
      </c>
      <c r="D756" s="11" t="s">
        <v>2913</v>
      </c>
      <c r="E756" s="11" t="s">
        <v>2918</v>
      </c>
      <c r="F756" s="11" t="s">
        <v>1345</v>
      </c>
      <c r="G756" s="12" t="s">
        <v>59</v>
      </c>
      <c r="H756" s="12" t="s">
        <v>59</v>
      </c>
      <c r="I756" s="12" t="s">
        <v>508</v>
      </c>
      <c r="J756" s="11" t="s">
        <v>2915</v>
      </c>
      <c r="K756" s="12" t="s">
        <v>62</v>
      </c>
      <c r="L756" s="12" t="s">
        <v>510</v>
      </c>
    </row>
    <row r="757" spans="1:12" ht="26.4" x14ac:dyDescent="0.3">
      <c r="A757" s="10" t="s">
        <v>2919</v>
      </c>
      <c r="B757" s="11" t="s">
        <v>16</v>
      </c>
      <c r="C757" s="11" t="s">
        <v>2920</v>
      </c>
      <c r="D757" s="11" t="s">
        <v>2913</v>
      </c>
      <c r="E757" s="11" t="s">
        <v>2921</v>
      </c>
      <c r="F757" s="11" t="s">
        <v>1345</v>
      </c>
      <c r="G757" s="12" t="s">
        <v>59</v>
      </c>
      <c r="H757" s="12" t="s">
        <v>59</v>
      </c>
      <c r="I757" s="12" t="s">
        <v>508</v>
      </c>
      <c r="J757" s="11" t="s">
        <v>2915</v>
      </c>
      <c r="K757" s="12" t="s">
        <v>62</v>
      </c>
      <c r="L757" s="12" t="s">
        <v>510</v>
      </c>
    </row>
    <row r="758" spans="1:12" ht="26.4" x14ac:dyDescent="0.3">
      <c r="A758" s="10" t="s">
        <v>2922</v>
      </c>
      <c r="B758" s="11" t="s">
        <v>16</v>
      </c>
      <c r="C758" s="11" t="s">
        <v>2923</v>
      </c>
      <c r="D758" s="11" t="s">
        <v>2913</v>
      </c>
      <c r="E758" s="11" t="s">
        <v>2924</v>
      </c>
      <c r="F758" s="11" t="s">
        <v>1345</v>
      </c>
      <c r="G758" s="12" t="s">
        <v>59</v>
      </c>
      <c r="H758" s="12" t="s">
        <v>59</v>
      </c>
      <c r="I758" s="12" t="s">
        <v>508</v>
      </c>
      <c r="J758" s="11" t="s">
        <v>2915</v>
      </c>
      <c r="K758" s="12" t="s">
        <v>62</v>
      </c>
      <c r="L758" s="12" t="s">
        <v>510</v>
      </c>
    </row>
    <row r="759" spans="1:12" ht="26.4" x14ac:dyDescent="0.3">
      <c r="A759" s="10" t="s">
        <v>2925</v>
      </c>
      <c r="B759" s="11" t="s">
        <v>16</v>
      </c>
      <c r="C759" s="11" t="s">
        <v>2926</v>
      </c>
      <c r="D759" s="11" t="s">
        <v>2913</v>
      </c>
      <c r="E759" s="11" t="s">
        <v>2927</v>
      </c>
      <c r="F759" s="11" t="s">
        <v>1345</v>
      </c>
      <c r="G759" s="12" t="s">
        <v>59</v>
      </c>
      <c r="H759" s="12" t="s">
        <v>59</v>
      </c>
      <c r="I759" s="12" t="s">
        <v>508</v>
      </c>
      <c r="J759" s="11" t="s">
        <v>2915</v>
      </c>
      <c r="K759" s="12" t="s">
        <v>62</v>
      </c>
      <c r="L759" s="12" t="s">
        <v>510</v>
      </c>
    </row>
    <row r="760" spans="1:12" ht="26.4" x14ac:dyDescent="0.3">
      <c r="A760" s="10" t="s">
        <v>2928</v>
      </c>
      <c r="B760" s="11" t="s">
        <v>16</v>
      </c>
      <c r="C760" s="11" t="s">
        <v>2929</v>
      </c>
      <c r="D760" s="11" t="s">
        <v>2913</v>
      </c>
      <c r="E760" s="11" t="s">
        <v>2930</v>
      </c>
      <c r="F760" s="11" t="s">
        <v>1345</v>
      </c>
      <c r="G760" s="12" t="s">
        <v>59</v>
      </c>
      <c r="H760" s="12" t="s">
        <v>59</v>
      </c>
      <c r="I760" s="12" t="s">
        <v>508</v>
      </c>
      <c r="J760" s="11" t="s">
        <v>2915</v>
      </c>
      <c r="K760" s="12" t="s">
        <v>62</v>
      </c>
      <c r="L760" s="12" t="s">
        <v>510</v>
      </c>
    </row>
    <row r="761" spans="1:12" ht="26.4" x14ac:dyDescent="0.3">
      <c r="A761" s="10" t="s">
        <v>2931</v>
      </c>
      <c r="B761" s="11" t="s">
        <v>16</v>
      </c>
      <c r="C761" s="11" t="s">
        <v>2932</v>
      </c>
      <c r="D761" s="11" t="s">
        <v>2913</v>
      </c>
      <c r="E761" s="11" t="s">
        <v>2933</v>
      </c>
      <c r="F761" s="11" t="s">
        <v>1345</v>
      </c>
      <c r="G761" s="12" t="s">
        <v>59</v>
      </c>
      <c r="H761" s="12" t="s">
        <v>59</v>
      </c>
      <c r="I761" s="12" t="s">
        <v>508</v>
      </c>
      <c r="J761" s="11" t="s">
        <v>2915</v>
      </c>
      <c r="K761" s="12" t="s">
        <v>62</v>
      </c>
      <c r="L761" s="12" t="s">
        <v>510</v>
      </c>
    </row>
    <row r="762" spans="1:12" ht="26.4" x14ac:dyDescent="0.3">
      <c r="A762" s="10" t="s">
        <v>2934</v>
      </c>
      <c r="B762" s="11" t="s">
        <v>16</v>
      </c>
      <c r="C762" s="11" t="s">
        <v>2935</v>
      </c>
      <c r="D762" s="11" t="s">
        <v>2913</v>
      </c>
      <c r="E762" s="11" t="s">
        <v>2936</v>
      </c>
      <c r="F762" s="11" t="s">
        <v>1355</v>
      </c>
      <c r="G762" s="12" t="s">
        <v>59</v>
      </c>
      <c r="H762" s="12" t="s">
        <v>59</v>
      </c>
      <c r="I762" s="12" t="s">
        <v>508</v>
      </c>
      <c r="J762" s="11" t="s">
        <v>2915</v>
      </c>
      <c r="K762" s="12" t="s">
        <v>62</v>
      </c>
      <c r="L762" s="12" t="s">
        <v>510</v>
      </c>
    </row>
    <row r="763" spans="1:12" ht="26.4" x14ac:dyDescent="0.3">
      <c r="A763" s="10" t="s">
        <v>2937</v>
      </c>
      <c r="B763" s="11" t="s">
        <v>16</v>
      </c>
      <c r="C763" s="11" t="s">
        <v>2938</v>
      </c>
      <c r="D763" s="11" t="s">
        <v>2913</v>
      </c>
      <c r="E763" s="11" t="s">
        <v>1562</v>
      </c>
      <c r="F763" s="11" t="s">
        <v>1355</v>
      </c>
      <c r="G763" s="12" t="s">
        <v>59</v>
      </c>
      <c r="H763" s="12" t="s">
        <v>59</v>
      </c>
      <c r="I763" s="12" t="s">
        <v>508</v>
      </c>
      <c r="J763" s="11" t="s">
        <v>2915</v>
      </c>
      <c r="K763" s="12" t="s">
        <v>62</v>
      </c>
      <c r="L763" s="12" t="s">
        <v>510</v>
      </c>
    </row>
    <row r="764" spans="1:12" ht="26.4" x14ac:dyDescent="0.3">
      <c r="A764" s="10" t="s">
        <v>2939</v>
      </c>
      <c r="B764" s="11" t="s">
        <v>16</v>
      </c>
      <c r="C764" s="11" t="s">
        <v>2940</v>
      </c>
      <c r="D764" s="11" t="s">
        <v>2913</v>
      </c>
      <c r="E764" s="11" t="s">
        <v>2941</v>
      </c>
      <c r="F764" s="11" t="s">
        <v>1355</v>
      </c>
      <c r="G764" s="12" t="s">
        <v>59</v>
      </c>
      <c r="H764" s="12" t="s">
        <v>59</v>
      </c>
      <c r="I764" s="12" t="s">
        <v>508</v>
      </c>
      <c r="J764" s="11" t="s">
        <v>2915</v>
      </c>
      <c r="K764" s="12" t="s">
        <v>62</v>
      </c>
      <c r="L764" s="12" t="s">
        <v>510</v>
      </c>
    </row>
    <row r="765" spans="1:12" ht="26.4" x14ac:dyDescent="0.3">
      <c r="A765" s="10" t="s">
        <v>2942</v>
      </c>
      <c r="B765" s="11" t="s">
        <v>16</v>
      </c>
      <c r="C765" s="11" t="s">
        <v>2943</v>
      </c>
      <c r="D765" s="11" t="s">
        <v>2913</v>
      </c>
      <c r="E765" s="11" t="s">
        <v>2944</v>
      </c>
      <c r="F765" s="11" t="s">
        <v>1355</v>
      </c>
      <c r="G765" s="12" t="s">
        <v>59</v>
      </c>
      <c r="H765" s="12" t="s">
        <v>59</v>
      </c>
      <c r="I765" s="12" t="s">
        <v>508</v>
      </c>
      <c r="J765" s="11" t="s">
        <v>2915</v>
      </c>
      <c r="K765" s="12" t="s">
        <v>62</v>
      </c>
      <c r="L765" s="12" t="s">
        <v>510</v>
      </c>
    </row>
    <row r="766" spans="1:12" ht="26.4" x14ac:dyDescent="0.3">
      <c r="A766" s="10" t="s">
        <v>2945</v>
      </c>
      <c r="B766" s="11" t="s">
        <v>16</v>
      </c>
      <c r="C766" s="11" t="s">
        <v>2946</v>
      </c>
      <c r="D766" s="11" t="s">
        <v>2913</v>
      </c>
      <c r="E766" s="11" t="s">
        <v>2947</v>
      </c>
      <c r="F766" s="11" t="s">
        <v>1355</v>
      </c>
      <c r="G766" s="12" t="s">
        <v>59</v>
      </c>
      <c r="H766" s="12" t="s">
        <v>59</v>
      </c>
      <c r="I766" s="12" t="s">
        <v>508</v>
      </c>
      <c r="J766" s="11" t="s">
        <v>2915</v>
      </c>
      <c r="K766" s="12" t="s">
        <v>62</v>
      </c>
      <c r="L766" s="12" t="s">
        <v>510</v>
      </c>
    </row>
    <row r="767" spans="1:12" ht="26.4" x14ac:dyDescent="0.3">
      <c r="A767" s="10" t="s">
        <v>2948</v>
      </c>
      <c r="B767" s="11" t="s">
        <v>16</v>
      </c>
      <c r="C767" s="11" t="s">
        <v>2949</v>
      </c>
      <c r="D767" s="11" t="s">
        <v>2913</v>
      </c>
      <c r="E767" s="11" t="s">
        <v>2950</v>
      </c>
      <c r="F767" s="11" t="s">
        <v>1345</v>
      </c>
      <c r="G767" s="12" t="s">
        <v>59</v>
      </c>
      <c r="H767" s="12" t="s">
        <v>59</v>
      </c>
      <c r="I767" s="12" t="s">
        <v>508</v>
      </c>
      <c r="J767" s="11" t="s">
        <v>2915</v>
      </c>
      <c r="K767" s="12" t="s">
        <v>62</v>
      </c>
      <c r="L767" s="12" t="s">
        <v>510</v>
      </c>
    </row>
    <row r="768" spans="1:12" ht="26.4" x14ac:dyDescent="0.3">
      <c r="A768" s="10" t="s">
        <v>2951</v>
      </c>
      <c r="B768" s="11" t="s">
        <v>16</v>
      </c>
      <c r="C768" s="11" t="s">
        <v>2952</v>
      </c>
      <c r="D768" s="11" t="s">
        <v>2913</v>
      </c>
      <c r="E768" s="11" t="s">
        <v>2953</v>
      </c>
      <c r="F768" s="11" t="s">
        <v>1345</v>
      </c>
      <c r="G768" s="12" t="s">
        <v>59</v>
      </c>
      <c r="H768" s="12" t="s">
        <v>59</v>
      </c>
      <c r="I768" s="12" t="s">
        <v>508</v>
      </c>
      <c r="J768" s="11" t="s">
        <v>2915</v>
      </c>
      <c r="K768" s="12" t="s">
        <v>62</v>
      </c>
      <c r="L768" s="12" t="s">
        <v>510</v>
      </c>
    </row>
    <row r="769" spans="1:12" ht="26.4" x14ac:dyDescent="0.3">
      <c r="A769" s="10" t="s">
        <v>2954</v>
      </c>
      <c r="B769" s="11" t="s">
        <v>16</v>
      </c>
      <c r="C769" s="11" t="s">
        <v>2955</v>
      </c>
      <c r="D769" s="11" t="s">
        <v>2913</v>
      </c>
      <c r="E769" s="11" t="s">
        <v>2956</v>
      </c>
      <c r="F769" s="11" t="s">
        <v>1345</v>
      </c>
      <c r="G769" s="12" t="s">
        <v>59</v>
      </c>
      <c r="H769" s="12" t="s">
        <v>59</v>
      </c>
      <c r="I769" s="12" t="s">
        <v>508</v>
      </c>
      <c r="J769" s="11" t="s">
        <v>2915</v>
      </c>
      <c r="K769" s="12" t="s">
        <v>62</v>
      </c>
      <c r="L769" s="12" t="s">
        <v>510</v>
      </c>
    </row>
    <row r="770" spans="1:12" ht="26.4" x14ac:dyDescent="0.3">
      <c r="A770" s="10" t="s">
        <v>2957</v>
      </c>
      <c r="B770" s="11" t="s">
        <v>16</v>
      </c>
      <c r="C770" s="11" t="s">
        <v>2958</v>
      </c>
      <c r="D770" s="11" t="s">
        <v>2959</v>
      </c>
      <c r="E770" s="11" t="s">
        <v>2960</v>
      </c>
      <c r="F770" s="11" t="s">
        <v>2961</v>
      </c>
      <c r="G770" s="12" t="s">
        <v>59</v>
      </c>
      <c r="H770" s="12" t="s">
        <v>59</v>
      </c>
      <c r="I770" s="12" t="s">
        <v>508</v>
      </c>
      <c r="J770" s="11" t="s">
        <v>2962</v>
      </c>
      <c r="K770" s="12" t="s">
        <v>62</v>
      </c>
      <c r="L770" s="12" t="s">
        <v>510</v>
      </c>
    </row>
    <row r="771" spans="1:12" ht="26.4" x14ac:dyDescent="0.3">
      <c r="A771" s="10" t="s">
        <v>2963</v>
      </c>
      <c r="B771" s="11" t="s">
        <v>16</v>
      </c>
      <c r="C771" s="11" t="s">
        <v>2958</v>
      </c>
      <c r="D771" s="11" t="s">
        <v>2959</v>
      </c>
      <c r="E771" s="11" t="s">
        <v>2964</v>
      </c>
      <c r="F771" s="11" t="s">
        <v>2961</v>
      </c>
      <c r="G771" s="12" t="s">
        <v>59</v>
      </c>
      <c r="H771" s="12" t="s">
        <v>59</v>
      </c>
      <c r="I771" s="12" t="s">
        <v>508</v>
      </c>
      <c r="J771" s="11" t="s">
        <v>2962</v>
      </c>
      <c r="K771" s="12" t="s">
        <v>62</v>
      </c>
      <c r="L771" s="12" t="s">
        <v>510</v>
      </c>
    </row>
    <row r="772" spans="1:12" ht="26.4" x14ac:dyDescent="0.3">
      <c r="A772" s="10" t="s">
        <v>2965</v>
      </c>
      <c r="B772" s="11" t="s">
        <v>16</v>
      </c>
      <c r="C772" s="11" t="s">
        <v>2958</v>
      </c>
      <c r="D772" s="11" t="s">
        <v>2959</v>
      </c>
      <c r="E772" s="11" t="s">
        <v>2966</v>
      </c>
      <c r="F772" s="11" t="s">
        <v>2961</v>
      </c>
      <c r="G772" s="12" t="s">
        <v>59</v>
      </c>
      <c r="H772" s="12" t="s">
        <v>59</v>
      </c>
      <c r="I772" s="12" t="s">
        <v>508</v>
      </c>
      <c r="J772" s="11" t="s">
        <v>2962</v>
      </c>
      <c r="K772" s="12" t="s">
        <v>62</v>
      </c>
      <c r="L772" s="12" t="s">
        <v>510</v>
      </c>
    </row>
    <row r="773" spans="1:12" ht="26.4" x14ac:dyDescent="0.3">
      <c r="A773" s="10" t="s">
        <v>2967</v>
      </c>
      <c r="B773" s="11" t="s">
        <v>16</v>
      </c>
      <c r="C773" s="11" t="s">
        <v>2958</v>
      </c>
      <c r="D773" s="11" t="s">
        <v>2959</v>
      </c>
      <c r="E773" s="11" t="s">
        <v>2968</v>
      </c>
      <c r="F773" s="11" t="s">
        <v>2961</v>
      </c>
      <c r="G773" s="12" t="s">
        <v>59</v>
      </c>
      <c r="H773" s="12" t="s">
        <v>59</v>
      </c>
      <c r="I773" s="12" t="s">
        <v>508</v>
      </c>
      <c r="J773" s="11" t="s">
        <v>2962</v>
      </c>
      <c r="K773" s="12" t="s">
        <v>62</v>
      </c>
      <c r="L773" s="12" t="s">
        <v>510</v>
      </c>
    </row>
    <row r="774" spans="1:12" ht="26.4" x14ac:dyDescent="0.3">
      <c r="A774" s="10" t="s">
        <v>2969</v>
      </c>
      <c r="B774" s="11" t="s">
        <v>16</v>
      </c>
      <c r="C774" s="11" t="s">
        <v>2958</v>
      </c>
      <c r="D774" s="11" t="s">
        <v>2959</v>
      </c>
      <c r="E774" s="11" t="s">
        <v>2970</v>
      </c>
      <c r="F774" s="11" t="s">
        <v>2961</v>
      </c>
      <c r="G774" s="12" t="s">
        <v>59</v>
      </c>
      <c r="H774" s="12" t="s">
        <v>59</v>
      </c>
      <c r="I774" s="12" t="s">
        <v>508</v>
      </c>
      <c r="J774" s="11" t="s">
        <v>2962</v>
      </c>
      <c r="K774" s="12" t="s">
        <v>62</v>
      </c>
      <c r="L774" s="12" t="s">
        <v>510</v>
      </c>
    </row>
    <row r="775" spans="1:12" ht="26.4" x14ac:dyDescent="0.3">
      <c r="A775" s="10" t="s">
        <v>2971</v>
      </c>
      <c r="B775" s="11" t="s">
        <v>16</v>
      </c>
      <c r="C775" s="11" t="s">
        <v>2972</v>
      </c>
      <c r="D775" s="11" t="s">
        <v>2973</v>
      </c>
      <c r="E775" s="11" t="s">
        <v>2974</v>
      </c>
      <c r="F775" s="11" t="s">
        <v>2975</v>
      </c>
      <c r="G775" s="12" t="s">
        <v>59</v>
      </c>
      <c r="H775" s="12" t="s">
        <v>59</v>
      </c>
      <c r="I775" s="12" t="s">
        <v>508</v>
      </c>
      <c r="J775" s="11" t="s">
        <v>2976</v>
      </c>
      <c r="K775" s="12" t="s">
        <v>62</v>
      </c>
      <c r="L775" s="12" t="s">
        <v>510</v>
      </c>
    </row>
    <row r="776" spans="1:12" ht="26.4" x14ac:dyDescent="0.3">
      <c r="A776" s="10" t="s">
        <v>2977</v>
      </c>
      <c r="B776" s="11" t="s">
        <v>16</v>
      </c>
      <c r="C776" s="11" t="s">
        <v>2972</v>
      </c>
      <c r="D776" s="11" t="s">
        <v>2973</v>
      </c>
      <c r="E776" s="11" t="s">
        <v>2978</v>
      </c>
      <c r="F776" s="11" t="s">
        <v>2975</v>
      </c>
      <c r="G776" s="12" t="s">
        <v>59</v>
      </c>
      <c r="H776" s="12" t="s">
        <v>59</v>
      </c>
      <c r="I776" s="12" t="s">
        <v>508</v>
      </c>
      <c r="J776" s="11" t="s">
        <v>2976</v>
      </c>
      <c r="K776" s="12" t="s">
        <v>62</v>
      </c>
      <c r="L776" s="12" t="s">
        <v>510</v>
      </c>
    </row>
    <row r="777" spans="1:12" ht="26.4" x14ac:dyDescent="0.3">
      <c r="A777" s="10" t="s">
        <v>2979</v>
      </c>
      <c r="B777" s="11" t="s">
        <v>16</v>
      </c>
      <c r="C777" s="11" t="s">
        <v>2972</v>
      </c>
      <c r="D777" s="11" t="s">
        <v>2973</v>
      </c>
      <c r="E777" s="11" t="s">
        <v>2980</v>
      </c>
      <c r="F777" s="11" t="s">
        <v>2975</v>
      </c>
      <c r="G777" s="12" t="s">
        <v>59</v>
      </c>
      <c r="H777" s="12" t="s">
        <v>59</v>
      </c>
      <c r="I777" s="12" t="s">
        <v>508</v>
      </c>
      <c r="J777" s="11" t="s">
        <v>2976</v>
      </c>
      <c r="K777" s="12" t="s">
        <v>62</v>
      </c>
      <c r="L777" s="12" t="s">
        <v>510</v>
      </c>
    </row>
    <row r="778" spans="1:12" ht="26.4" x14ac:dyDescent="0.3">
      <c r="A778" s="10" t="s">
        <v>2981</v>
      </c>
      <c r="B778" s="11" t="s">
        <v>16</v>
      </c>
      <c r="C778" s="11" t="s">
        <v>2982</v>
      </c>
      <c r="D778" s="11" t="s">
        <v>2983</v>
      </c>
      <c r="E778" s="11" t="s">
        <v>2984</v>
      </c>
      <c r="F778" s="11" t="s">
        <v>2985</v>
      </c>
      <c r="G778" s="12" t="s">
        <v>59</v>
      </c>
      <c r="H778" s="12" t="s">
        <v>59</v>
      </c>
      <c r="I778" s="12" t="s">
        <v>508</v>
      </c>
      <c r="J778" s="11" t="s">
        <v>2986</v>
      </c>
      <c r="K778" s="12" t="s">
        <v>62</v>
      </c>
      <c r="L778" s="12" t="s">
        <v>510</v>
      </c>
    </row>
    <row r="779" spans="1:12" ht="26.4" x14ac:dyDescent="0.3">
      <c r="A779" s="10" t="s">
        <v>2987</v>
      </c>
      <c r="B779" s="11" t="s">
        <v>16</v>
      </c>
      <c r="C779" s="11" t="s">
        <v>2982</v>
      </c>
      <c r="D779" s="11" t="s">
        <v>2983</v>
      </c>
      <c r="E779" s="11" t="s">
        <v>2988</v>
      </c>
      <c r="F779" s="11" t="s">
        <v>2985</v>
      </c>
      <c r="G779" s="12" t="s">
        <v>59</v>
      </c>
      <c r="H779" s="12" t="s">
        <v>59</v>
      </c>
      <c r="I779" s="12" t="s">
        <v>508</v>
      </c>
      <c r="J779" s="11" t="s">
        <v>2986</v>
      </c>
      <c r="K779" s="12" t="s">
        <v>62</v>
      </c>
      <c r="L779" s="12" t="s">
        <v>510</v>
      </c>
    </row>
    <row r="780" spans="1:12" ht="26.4" x14ac:dyDescent="0.3">
      <c r="A780" s="10" t="s">
        <v>2989</v>
      </c>
      <c r="B780" s="11" t="s">
        <v>16</v>
      </c>
      <c r="C780" s="11" t="s">
        <v>2982</v>
      </c>
      <c r="D780" s="11" t="s">
        <v>2983</v>
      </c>
      <c r="E780" s="11" t="s">
        <v>2990</v>
      </c>
      <c r="F780" s="11" t="s">
        <v>2985</v>
      </c>
      <c r="G780" s="12" t="s">
        <v>59</v>
      </c>
      <c r="H780" s="12" t="s">
        <v>59</v>
      </c>
      <c r="I780" s="12" t="s">
        <v>508</v>
      </c>
      <c r="J780" s="11" t="s">
        <v>2986</v>
      </c>
      <c r="K780" s="12" t="s">
        <v>62</v>
      </c>
      <c r="L780" s="12" t="s">
        <v>510</v>
      </c>
    </row>
    <row r="781" spans="1:12" ht="26.4" x14ac:dyDescent="0.3">
      <c r="A781" s="10" t="s">
        <v>2991</v>
      </c>
      <c r="B781" s="11" t="s">
        <v>16</v>
      </c>
      <c r="C781" s="11" t="s">
        <v>2982</v>
      </c>
      <c r="D781" s="11" t="s">
        <v>2983</v>
      </c>
      <c r="E781" s="11" t="s">
        <v>2992</v>
      </c>
      <c r="F781" s="11" t="s">
        <v>2985</v>
      </c>
      <c r="G781" s="12" t="s">
        <v>59</v>
      </c>
      <c r="H781" s="12" t="s">
        <v>59</v>
      </c>
      <c r="I781" s="12" t="s">
        <v>508</v>
      </c>
      <c r="J781" s="11" t="s">
        <v>2986</v>
      </c>
      <c r="K781" s="12" t="s">
        <v>62</v>
      </c>
      <c r="L781" s="12" t="s">
        <v>510</v>
      </c>
    </row>
    <row r="782" spans="1:12" ht="26.4" x14ac:dyDescent="0.3">
      <c r="A782" s="10" t="s">
        <v>2993</v>
      </c>
      <c r="B782" s="11" t="s">
        <v>16</v>
      </c>
      <c r="C782" s="11" t="s">
        <v>2982</v>
      </c>
      <c r="D782" s="11" t="s">
        <v>2983</v>
      </c>
      <c r="E782" s="11" t="s">
        <v>2994</v>
      </c>
      <c r="F782" s="11" t="s">
        <v>2985</v>
      </c>
      <c r="G782" s="12" t="s">
        <v>59</v>
      </c>
      <c r="H782" s="12" t="s">
        <v>59</v>
      </c>
      <c r="I782" s="12" t="s">
        <v>508</v>
      </c>
      <c r="J782" s="11" t="s">
        <v>2986</v>
      </c>
      <c r="K782" s="12" t="s">
        <v>62</v>
      </c>
      <c r="L782" s="12" t="s">
        <v>510</v>
      </c>
    </row>
    <row r="783" spans="1:12" ht="26.4" x14ac:dyDescent="0.3">
      <c r="A783" s="10" t="s">
        <v>2995</v>
      </c>
      <c r="B783" s="11" t="s">
        <v>16</v>
      </c>
      <c r="C783" s="11" t="s">
        <v>2982</v>
      </c>
      <c r="D783" s="11" t="s">
        <v>2983</v>
      </c>
      <c r="E783" s="11" t="s">
        <v>2996</v>
      </c>
      <c r="F783" s="11" t="s">
        <v>2985</v>
      </c>
      <c r="G783" s="12" t="s">
        <v>59</v>
      </c>
      <c r="H783" s="12" t="s">
        <v>59</v>
      </c>
      <c r="I783" s="12" t="s">
        <v>508</v>
      </c>
      <c r="J783" s="11" t="s">
        <v>2986</v>
      </c>
      <c r="K783" s="12" t="s">
        <v>62</v>
      </c>
      <c r="L783" s="12" t="s">
        <v>510</v>
      </c>
    </row>
    <row r="784" spans="1:12" ht="26.4" x14ac:dyDescent="0.3">
      <c r="A784" s="10" t="s">
        <v>2997</v>
      </c>
      <c r="B784" s="11" t="s">
        <v>16</v>
      </c>
      <c r="C784" s="11" t="s">
        <v>2982</v>
      </c>
      <c r="D784" s="11" t="s">
        <v>2983</v>
      </c>
      <c r="E784" s="11" t="s">
        <v>2998</v>
      </c>
      <c r="F784" s="11" t="s">
        <v>2985</v>
      </c>
      <c r="G784" s="12" t="s">
        <v>59</v>
      </c>
      <c r="H784" s="12" t="s">
        <v>59</v>
      </c>
      <c r="I784" s="12" t="s">
        <v>508</v>
      </c>
      <c r="J784" s="11" t="s">
        <v>2986</v>
      </c>
      <c r="K784" s="12" t="s">
        <v>62</v>
      </c>
      <c r="L784" s="12" t="s">
        <v>510</v>
      </c>
    </row>
    <row r="785" spans="1:12" ht="26.4" x14ac:dyDescent="0.3">
      <c r="A785" s="10" t="s">
        <v>2999</v>
      </c>
      <c r="B785" s="11" t="s">
        <v>16</v>
      </c>
      <c r="C785" s="11" t="s">
        <v>2982</v>
      </c>
      <c r="D785" s="11" t="s">
        <v>2983</v>
      </c>
      <c r="E785" s="11" t="s">
        <v>3000</v>
      </c>
      <c r="F785" s="11" t="s">
        <v>2985</v>
      </c>
      <c r="G785" s="12" t="s">
        <v>59</v>
      </c>
      <c r="H785" s="12" t="s">
        <v>59</v>
      </c>
      <c r="I785" s="12" t="s">
        <v>508</v>
      </c>
      <c r="J785" s="11" t="s">
        <v>2986</v>
      </c>
      <c r="K785" s="12" t="s">
        <v>62</v>
      </c>
      <c r="L785" s="12" t="s">
        <v>510</v>
      </c>
    </row>
    <row r="786" spans="1:12" ht="26.4" x14ac:dyDescent="0.3">
      <c r="A786" s="10" t="s">
        <v>3001</v>
      </c>
      <c r="B786" s="11" t="s">
        <v>16</v>
      </c>
      <c r="C786" s="11" t="s">
        <v>3002</v>
      </c>
      <c r="D786" s="11" t="s">
        <v>3003</v>
      </c>
      <c r="E786" s="11" t="s">
        <v>3004</v>
      </c>
      <c r="F786" s="11" t="s">
        <v>3005</v>
      </c>
      <c r="G786" s="12" t="s">
        <v>59</v>
      </c>
      <c r="H786" s="12" t="s">
        <v>59</v>
      </c>
      <c r="I786" s="12" t="s">
        <v>508</v>
      </c>
      <c r="J786" s="11" t="s">
        <v>3006</v>
      </c>
      <c r="K786" s="12" t="s">
        <v>62</v>
      </c>
      <c r="L786" s="12" t="s">
        <v>510</v>
      </c>
    </row>
    <row r="787" spans="1:12" ht="26.4" x14ac:dyDescent="0.3">
      <c r="A787" s="10" t="s">
        <v>3007</v>
      </c>
      <c r="B787" s="11" t="s">
        <v>16</v>
      </c>
      <c r="C787" s="11" t="s">
        <v>3008</v>
      </c>
      <c r="D787" s="11" t="s">
        <v>3003</v>
      </c>
      <c r="E787" s="11" t="s">
        <v>3009</v>
      </c>
      <c r="F787" s="11" t="s">
        <v>3010</v>
      </c>
      <c r="G787" s="12" t="s">
        <v>59</v>
      </c>
      <c r="H787" s="12" t="s">
        <v>59</v>
      </c>
      <c r="I787" s="12" t="s">
        <v>508</v>
      </c>
      <c r="J787" s="11" t="s">
        <v>3006</v>
      </c>
      <c r="K787" s="12" t="s">
        <v>62</v>
      </c>
      <c r="L787" s="12" t="s">
        <v>510</v>
      </c>
    </row>
    <row r="788" spans="1:12" ht="26.4" x14ac:dyDescent="0.3">
      <c r="A788" s="10" t="s">
        <v>3011</v>
      </c>
      <c r="B788" s="11" t="s">
        <v>16</v>
      </c>
      <c r="C788" s="11" t="s">
        <v>3012</v>
      </c>
      <c r="D788" s="11" t="s">
        <v>3013</v>
      </c>
      <c r="E788" s="11" t="s">
        <v>3014</v>
      </c>
      <c r="F788" s="11" t="s">
        <v>3015</v>
      </c>
      <c r="G788" s="12" t="s">
        <v>59</v>
      </c>
      <c r="H788" s="12" t="s">
        <v>59</v>
      </c>
      <c r="I788" s="12" t="s">
        <v>508</v>
      </c>
      <c r="J788" s="11" t="s">
        <v>3016</v>
      </c>
      <c r="K788" s="12" t="s">
        <v>62</v>
      </c>
      <c r="L788" s="12" t="s">
        <v>510</v>
      </c>
    </row>
    <row r="789" spans="1:12" ht="26.4" x14ac:dyDescent="0.3">
      <c r="A789" s="10" t="s">
        <v>3017</v>
      </c>
      <c r="B789" s="11" t="s">
        <v>16</v>
      </c>
      <c r="C789" s="11" t="s">
        <v>3012</v>
      </c>
      <c r="D789" s="11" t="s">
        <v>3013</v>
      </c>
      <c r="E789" s="11" t="s">
        <v>3018</v>
      </c>
      <c r="F789" s="11" t="s">
        <v>3015</v>
      </c>
      <c r="G789" s="12" t="s">
        <v>59</v>
      </c>
      <c r="H789" s="12" t="s">
        <v>59</v>
      </c>
      <c r="I789" s="12" t="s">
        <v>508</v>
      </c>
      <c r="J789" s="11" t="s">
        <v>3016</v>
      </c>
      <c r="K789" s="12" t="s">
        <v>62</v>
      </c>
      <c r="L789" s="12" t="s">
        <v>510</v>
      </c>
    </row>
    <row r="790" spans="1:12" ht="26.4" x14ac:dyDescent="0.3">
      <c r="A790" s="10" t="s">
        <v>3019</v>
      </c>
      <c r="B790" s="11" t="s">
        <v>16</v>
      </c>
      <c r="C790" s="11" t="s">
        <v>3012</v>
      </c>
      <c r="D790" s="11" t="s">
        <v>3013</v>
      </c>
      <c r="E790" s="11" t="s">
        <v>3020</v>
      </c>
      <c r="F790" s="11" t="s">
        <v>3015</v>
      </c>
      <c r="G790" s="12" t="s">
        <v>59</v>
      </c>
      <c r="H790" s="12" t="s">
        <v>59</v>
      </c>
      <c r="I790" s="12" t="s">
        <v>508</v>
      </c>
      <c r="J790" s="11" t="s">
        <v>3016</v>
      </c>
      <c r="K790" s="12" t="s">
        <v>62</v>
      </c>
      <c r="L790" s="12" t="s">
        <v>510</v>
      </c>
    </row>
    <row r="791" spans="1:12" ht="26.4" x14ac:dyDescent="0.3">
      <c r="A791" s="10" t="s">
        <v>3021</v>
      </c>
      <c r="B791" s="11" t="s">
        <v>16</v>
      </c>
      <c r="C791" s="11" t="s">
        <v>3012</v>
      </c>
      <c r="D791" s="11" t="s">
        <v>3013</v>
      </c>
      <c r="E791" s="11" t="s">
        <v>3022</v>
      </c>
      <c r="F791" s="11" t="s">
        <v>3015</v>
      </c>
      <c r="G791" s="12" t="s">
        <v>59</v>
      </c>
      <c r="H791" s="12" t="s">
        <v>59</v>
      </c>
      <c r="I791" s="12" t="s">
        <v>508</v>
      </c>
      <c r="J791" s="11" t="s">
        <v>3016</v>
      </c>
      <c r="K791" s="12" t="s">
        <v>62</v>
      </c>
      <c r="L791" s="12" t="s">
        <v>510</v>
      </c>
    </row>
    <row r="792" spans="1:12" ht="26.4" x14ac:dyDescent="0.3">
      <c r="A792" s="10" t="s">
        <v>3023</v>
      </c>
      <c r="B792" s="11" t="s">
        <v>16</v>
      </c>
      <c r="C792" s="11" t="s">
        <v>3012</v>
      </c>
      <c r="D792" s="11" t="s">
        <v>3013</v>
      </c>
      <c r="E792" s="11" t="s">
        <v>3024</v>
      </c>
      <c r="F792" s="11" t="s">
        <v>3015</v>
      </c>
      <c r="G792" s="12" t="s">
        <v>59</v>
      </c>
      <c r="H792" s="12" t="s">
        <v>59</v>
      </c>
      <c r="I792" s="12" t="s">
        <v>508</v>
      </c>
      <c r="J792" s="11" t="s">
        <v>3016</v>
      </c>
      <c r="K792" s="12" t="s">
        <v>62</v>
      </c>
      <c r="L792" s="12" t="s">
        <v>510</v>
      </c>
    </row>
    <row r="793" spans="1:12" ht="26.4" x14ac:dyDescent="0.3">
      <c r="A793" s="10" t="s">
        <v>3025</v>
      </c>
      <c r="B793" s="11" t="s">
        <v>16</v>
      </c>
      <c r="C793" s="11" t="s">
        <v>3012</v>
      </c>
      <c r="D793" s="11" t="s">
        <v>3013</v>
      </c>
      <c r="E793" s="11" t="s">
        <v>3026</v>
      </c>
      <c r="F793" s="11" t="s">
        <v>3015</v>
      </c>
      <c r="G793" s="12" t="s">
        <v>59</v>
      </c>
      <c r="H793" s="12" t="s">
        <v>59</v>
      </c>
      <c r="I793" s="12" t="s">
        <v>508</v>
      </c>
      <c r="J793" s="11" t="s">
        <v>3016</v>
      </c>
      <c r="K793" s="12" t="s">
        <v>62</v>
      </c>
      <c r="L793" s="12" t="s">
        <v>510</v>
      </c>
    </row>
    <row r="794" spans="1:12" ht="26.4" x14ac:dyDescent="0.3">
      <c r="A794" s="10" t="s">
        <v>3027</v>
      </c>
      <c r="B794" s="11" t="s">
        <v>16</v>
      </c>
      <c r="C794" s="11" t="s">
        <v>3028</v>
      </c>
      <c r="D794" s="11" t="s">
        <v>3029</v>
      </c>
      <c r="E794" s="11" t="s">
        <v>3030</v>
      </c>
      <c r="F794" s="11" t="s">
        <v>3031</v>
      </c>
      <c r="G794" s="12" t="s">
        <v>59</v>
      </c>
      <c r="H794" s="12" t="s">
        <v>59</v>
      </c>
      <c r="I794" s="12" t="s">
        <v>508</v>
      </c>
      <c r="J794" s="11" t="s">
        <v>3032</v>
      </c>
      <c r="K794" s="12" t="s">
        <v>62</v>
      </c>
      <c r="L794" s="12" t="s">
        <v>510</v>
      </c>
    </row>
    <row r="795" spans="1:12" ht="26.4" x14ac:dyDescent="0.3">
      <c r="A795" s="10" t="s">
        <v>3033</v>
      </c>
      <c r="B795" s="11" t="s">
        <v>16</v>
      </c>
      <c r="C795" s="11" t="s">
        <v>3034</v>
      </c>
      <c r="D795" s="11" t="s">
        <v>3029</v>
      </c>
      <c r="E795" s="11" t="s">
        <v>3035</v>
      </c>
      <c r="F795" s="11" t="s">
        <v>3036</v>
      </c>
      <c r="G795" s="12" t="s">
        <v>59</v>
      </c>
      <c r="H795" s="12" t="s">
        <v>59</v>
      </c>
      <c r="I795" s="12" t="s">
        <v>508</v>
      </c>
      <c r="J795" s="11" t="s">
        <v>3032</v>
      </c>
      <c r="K795" s="12" t="s">
        <v>62</v>
      </c>
      <c r="L795" s="12" t="s">
        <v>510</v>
      </c>
    </row>
    <row r="796" spans="1:12" ht="26.4" x14ac:dyDescent="0.3">
      <c r="A796" s="10" t="s">
        <v>3037</v>
      </c>
      <c r="B796" s="11" t="s">
        <v>16</v>
      </c>
      <c r="C796" s="11" t="s">
        <v>3038</v>
      </c>
      <c r="D796" s="11" t="s">
        <v>3029</v>
      </c>
      <c r="E796" s="11" t="s">
        <v>3039</v>
      </c>
      <c r="F796" s="11" t="s">
        <v>3040</v>
      </c>
      <c r="G796" s="12" t="s">
        <v>59</v>
      </c>
      <c r="H796" s="12" t="s">
        <v>59</v>
      </c>
      <c r="I796" s="12" t="s">
        <v>508</v>
      </c>
      <c r="J796" s="11" t="s">
        <v>3032</v>
      </c>
      <c r="K796" s="12" t="s">
        <v>62</v>
      </c>
      <c r="L796" s="12" t="s">
        <v>510</v>
      </c>
    </row>
    <row r="797" spans="1:12" ht="26.4" x14ac:dyDescent="0.3">
      <c r="A797" s="10" t="s">
        <v>3041</v>
      </c>
      <c r="B797" s="11" t="s">
        <v>16</v>
      </c>
      <c r="C797" s="11" t="s">
        <v>3042</v>
      </c>
      <c r="D797" s="11" t="s">
        <v>3043</v>
      </c>
      <c r="E797" s="11" t="s">
        <v>2795</v>
      </c>
      <c r="F797" s="11" t="s">
        <v>2796</v>
      </c>
      <c r="G797" s="12" t="s">
        <v>59</v>
      </c>
      <c r="H797" s="12" t="s">
        <v>59</v>
      </c>
      <c r="I797" s="12" t="s">
        <v>508</v>
      </c>
      <c r="J797" s="11" t="s">
        <v>3044</v>
      </c>
      <c r="K797" s="12" t="s">
        <v>62</v>
      </c>
      <c r="L797" s="12" t="s">
        <v>510</v>
      </c>
    </row>
    <row r="798" spans="1:12" ht="26.4" x14ac:dyDescent="0.3">
      <c r="A798" s="10" t="s">
        <v>3045</v>
      </c>
      <c r="B798" s="11" t="s">
        <v>16</v>
      </c>
      <c r="C798" s="11" t="s">
        <v>3042</v>
      </c>
      <c r="D798" s="11" t="s">
        <v>3043</v>
      </c>
      <c r="E798" s="11" t="s">
        <v>2799</v>
      </c>
      <c r="F798" s="11" t="s">
        <v>2796</v>
      </c>
      <c r="G798" s="12" t="s">
        <v>59</v>
      </c>
      <c r="H798" s="12" t="s">
        <v>59</v>
      </c>
      <c r="I798" s="12" t="s">
        <v>508</v>
      </c>
      <c r="J798" s="11" t="s">
        <v>3044</v>
      </c>
      <c r="K798" s="12" t="s">
        <v>62</v>
      </c>
      <c r="L798" s="12" t="s">
        <v>510</v>
      </c>
    </row>
  </sheetData>
  <autoFilter ref="A4:L798" xr:uid="{00000000-0009-0000-0000-000001000000}"/>
  <mergeCells count="2">
    <mergeCell ref="A2:L2"/>
    <mergeCell ref="A1:L1"/>
  </mergeCells>
  <conditionalFormatting sqref="G5:H798">
    <cfRule type="cellIs" dxfId="5" priority="1" operator="equal">
      <formula>"Fail"</formula>
    </cfRule>
    <cfRule type="cellIs" dxfId="4" priority="2" operator="equal">
      <formula>"Pass"</formula>
    </cfRule>
  </conditionalFormatting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  <pageSetUpPr fitToPage="1"/>
  </sheetPr>
  <dimension ref="A1:L344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26" customWidth="1"/>
    <col min="3" max="3" width="40" customWidth="1"/>
    <col min="4" max="4" width="42" customWidth="1"/>
    <col min="5" max="5" width="34" customWidth="1"/>
    <col min="6" max="6" width="44" customWidth="1"/>
    <col min="7" max="8" width="11" customWidth="1"/>
    <col min="9" max="9" width="20" customWidth="1"/>
    <col min="10" max="10" width="42" customWidth="1"/>
    <col min="11" max="11" width="18" customWidth="1"/>
    <col min="12" max="12" width="13" customWidth="1"/>
  </cols>
  <sheetData>
    <row r="1" spans="1:12" ht="18.600000000000001" x14ac:dyDescent="0.3">
      <c r="A1" s="24" t="s">
        <v>3046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30" customHeight="1" x14ac:dyDescent="0.3">
      <c r="A2" s="22" t="s">
        <v>43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4" spans="1:12" ht="31.95" customHeight="1" x14ac:dyDescent="0.3">
      <c r="A4" s="1" t="s">
        <v>44</v>
      </c>
      <c r="B4" s="1" t="s">
        <v>3</v>
      </c>
      <c r="C4" s="1" t="s">
        <v>45</v>
      </c>
      <c r="D4" s="1" t="s">
        <v>46</v>
      </c>
      <c r="E4" s="1" t="s">
        <v>47</v>
      </c>
      <c r="F4" s="1" t="s">
        <v>48</v>
      </c>
      <c r="G4" s="1" t="s">
        <v>49</v>
      </c>
      <c r="H4" s="1" t="s">
        <v>50</v>
      </c>
      <c r="I4" s="1" t="s">
        <v>31</v>
      </c>
      <c r="J4" s="1" t="s">
        <v>51</v>
      </c>
      <c r="K4" s="1" t="s">
        <v>52</v>
      </c>
      <c r="L4" s="1" t="s">
        <v>53</v>
      </c>
    </row>
    <row r="5" spans="1:12" ht="26.4" x14ac:dyDescent="0.3">
      <c r="A5" s="10" t="s">
        <v>3047</v>
      </c>
      <c r="B5" s="11" t="s">
        <v>19</v>
      </c>
      <c r="C5" s="11" t="s">
        <v>3048</v>
      </c>
      <c r="D5" s="11" t="s">
        <v>3049</v>
      </c>
      <c r="E5" s="11" t="s">
        <v>3050</v>
      </c>
      <c r="F5" s="11" t="s">
        <v>3051</v>
      </c>
      <c r="G5" s="12" t="s">
        <v>59</v>
      </c>
      <c r="H5" s="12" t="s">
        <v>59</v>
      </c>
      <c r="I5" s="12" t="s">
        <v>60</v>
      </c>
      <c r="J5" s="11" t="s">
        <v>3052</v>
      </c>
      <c r="K5" s="12" t="s">
        <v>62</v>
      </c>
      <c r="L5" s="12" t="s">
        <v>63</v>
      </c>
    </row>
    <row r="6" spans="1:12" ht="26.4" x14ac:dyDescent="0.3">
      <c r="A6" s="10" t="s">
        <v>3053</v>
      </c>
      <c r="B6" s="11" t="s">
        <v>19</v>
      </c>
      <c r="C6" s="11" t="s">
        <v>3054</v>
      </c>
      <c r="D6" s="11" t="s">
        <v>3055</v>
      </c>
      <c r="E6" s="11" t="s">
        <v>1980</v>
      </c>
      <c r="F6" s="11" t="s">
        <v>3056</v>
      </c>
      <c r="G6" s="12" t="s">
        <v>59</v>
      </c>
      <c r="H6" s="12" t="s">
        <v>59</v>
      </c>
      <c r="I6" s="12" t="s">
        <v>60</v>
      </c>
      <c r="J6" s="11" t="s">
        <v>3057</v>
      </c>
      <c r="K6" s="12" t="s">
        <v>62</v>
      </c>
      <c r="L6" s="12" t="s">
        <v>63</v>
      </c>
    </row>
    <row r="7" spans="1:12" ht="26.4" x14ac:dyDescent="0.3">
      <c r="A7" s="10" t="s">
        <v>3058</v>
      </c>
      <c r="B7" s="11" t="s">
        <v>19</v>
      </c>
      <c r="C7" s="11" t="s">
        <v>3059</v>
      </c>
      <c r="D7" s="11" t="s">
        <v>3060</v>
      </c>
      <c r="E7" s="11" t="s">
        <v>3061</v>
      </c>
      <c r="F7" s="11" t="s">
        <v>3062</v>
      </c>
      <c r="G7" s="12" t="s">
        <v>59</v>
      </c>
      <c r="H7" s="12" t="s">
        <v>59</v>
      </c>
      <c r="I7" s="12" t="s">
        <v>60</v>
      </c>
      <c r="J7" s="11" t="s">
        <v>3063</v>
      </c>
      <c r="K7" s="12" t="s">
        <v>62</v>
      </c>
      <c r="L7" s="12" t="s">
        <v>63</v>
      </c>
    </row>
    <row r="8" spans="1:12" ht="26.4" x14ac:dyDescent="0.3">
      <c r="A8" s="10" t="s">
        <v>3064</v>
      </c>
      <c r="B8" s="11" t="s">
        <v>19</v>
      </c>
      <c r="C8" s="11" t="s">
        <v>3065</v>
      </c>
      <c r="D8" s="11" t="s">
        <v>3066</v>
      </c>
      <c r="E8" s="11" t="s">
        <v>3067</v>
      </c>
      <c r="F8" s="11" t="s">
        <v>3068</v>
      </c>
      <c r="G8" s="12" t="s">
        <v>59</v>
      </c>
      <c r="H8" s="12" t="s">
        <v>59</v>
      </c>
      <c r="I8" s="12" t="s">
        <v>60</v>
      </c>
      <c r="J8" s="11" t="s">
        <v>3069</v>
      </c>
      <c r="K8" s="12" t="s">
        <v>62</v>
      </c>
      <c r="L8" s="12" t="s">
        <v>63</v>
      </c>
    </row>
    <row r="9" spans="1:12" ht="26.4" x14ac:dyDescent="0.3">
      <c r="A9" s="10" t="s">
        <v>3070</v>
      </c>
      <c r="B9" s="11" t="s">
        <v>19</v>
      </c>
      <c r="C9" s="11" t="s">
        <v>3071</v>
      </c>
      <c r="D9" s="11" t="s">
        <v>3072</v>
      </c>
      <c r="E9" s="11" t="s">
        <v>3073</v>
      </c>
      <c r="F9" s="11" t="s">
        <v>3074</v>
      </c>
      <c r="G9" s="12" t="s">
        <v>59</v>
      </c>
      <c r="H9" s="12" t="s">
        <v>59</v>
      </c>
      <c r="I9" s="12" t="s">
        <v>60</v>
      </c>
      <c r="J9" s="11" t="s">
        <v>3075</v>
      </c>
      <c r="K9" s="12" t="s">
        <v>62</v>
      </c>
      <c r="L9" s="12" t="s">
        <v>63</v>
      </c>
    </row>
    <row r="10" spans="1:12" ht="26.4" x14ac:dyDescent="0.3">
      <c r="A10" s="10" t="s">
        <v>3076</v>
      </c>
      <c r="B10" s="11" t="s">
        <v>19</v>
      </c>
      <c r="C10" s="11" t="s">
        <v>3077</v>
      </c>
      <c r="D10" s="11" t="s">
        <v>3078</v>
      </c>
      <c r="E10" s="11" t="s">
        <v>3079</v>
      </c>
      <c r="F10" s="11" t="s">
        <v>3080</v>
      </c>
      <c r="G10" s="12" t="s">
        <v>59</v>
      </c>
      <c r="H10" s="12" t="s">
        <v>59</v>
      </c>
      <c r="I10" s="12" t="s">
        <v>60</v>
      </c>
      <c r="J10" s="11" t="s">
        <v>3081</v>
      </c>
      <c r="K10" s="12" t="s">
        <v>62</v>
      </c>
      <c r="L10" s="12" t="s">
        <v>63</v>
      </c>
    </row>
    <row r="11" spans="1:12" ht="26.4" x14ac:dyDescent="0.3">
      <c r="A11" s="10" t="s">
        <v>3082</v>
      </c>
      <c r="B11" s="11" t="s">
        <v>19</v>
      </c>
      <c r="C11" s="11" t="s">
        <v>3083</v>
      </c>
      <c r="D11" s="11" t="s">
        <v>3084</v>
      </c>
      <c r="E11" s="11" t="s">
        <v>162</v>
      </c>
      <c r="F11" s="11" t="s">
        <v>3085</v>
      </c>
      <c r="G11" s="12" t="s">
        <v>59</v>
      </c>
      <c r="H11" s="12" t="s">
        <v>59</v>
      </c>
      <c r="I11" s="12" t="s">
        <v>60</v>
      </c>
      <c r="J11" s="11" t="s">
        <v>3086</v>
      </c>
      <c r="K11" s="12" t="s">
        <v>62</v>
      </c>
      <c r="L11" s="12" t="s">
        <v>63</v>
      </c>
    </row>
    <row r="12" spans="1:12" ht="26.4" x14ac:dyDescent="0.3">
      <c r="A12" s="10" t="s">
        <v>3087</v>
      </c>
      <c r="B12" s="11" t="s">
        <v>19</v>
      </c>
      <c r="C12" s="11" t="s">
        <v>3088</v>
      </c>
      <c r="D12" s="11" t="s">
        <v>3089</v>
      </c>
      <c r="E12" s="11" t="s">
        <v>3090</v>
      </c>
      <c r="F12" s="11" t="s">
        <v>3091</v>
      </c>
      <c r="G12" s="12" t="s">
        <v>59</v>
      </c>
      <c r="H12" s="12" t="s">
        <v>59</v>
      </c>
      <c r="I12" s="12" t="s">
        <v>60</v>
      </c>
      <c r="J12" s="11" t="s">
        <v>3092</v>
      </c>
      <c r="K12" s="12" t="s">
        <v>62</v>
      </c>
      <c r="L12" s="12" t="s">
        <v>63</v>
      </c>
    </row>
    <row r="13" spans="1:12" ht="26.4" x14ac:dyDescent="0.3">
      <c r="A13" s="10" t="s">
        <v>3093</v>
      </c>
      <c r="B13" s="11" t="s">
        <v>19</v>
      </c>
      <c r="C13" s="11" t="s">
        <v>3094</v>
      </c>
      <c r="D13" s="11" t="s">
        <v>3095</v>
      </c>
      <c r="E13" s="11" t="s">
        <v>3096</v>
      </c>
      <c r="F13" s="11" t="s">
        <v>3097</v>
      </c>
      <c r="G13" s="12" t="s">
        <v>59</v>
      </c>
      <c r="H13" s="12" t="s">
        <v>59</v>
      </c>
      <c r="I13" s="12" t="s">
        <v>60</v>
      </c>
      <c r="J13" s="11" t="s">
        <v>3098</v>
      </c>
      <c r="K13" s="12" t="s">
        <v>62</v>
      </c>
      <c r="L13" s="12" t="s">
        <v>63</v>
      </c>
    </row>
    <row r="14" spans="1:12" ht="26.4" x14ac:dyDescent="0.3">
      <c r="A14" s="10" t="s">
        <v>3099</v>
      </c>
      <c r="B14" s="11" t="s">
        <v>19</v>
      </c>
      <c r="C14" s="11" t="s">
        <v>3100</v>
      </c>
      <c r="D14" s="11" t="s">
        <v>3101</v>
      </c>
      <c r="E14" s="11" t="s">
        <v>3096</v>
      </c>
      <c r="F14" s="11" t="s">
        <v>3102</v>
      </c>
      <c r="G14" s="12" t="s">
        <v>59</v>
      </c>
      <c r="H14" s="12" t="s">
        <v>59</v>
      </c>
      <c r="I14" s="12" t="s">
        <v>60</v>
      </c>
      <c r="J14" s="11" t="s">
        <v>3103</v>
      </c>
      <c r="K14" s="12" t="s">
        <v>62</v>
      </c>
      <c r="L14" s="12" t="s">
        <v>63</v>
      </c>
    </row>
    <row r="15" spans="1:12" ht="26.4" x14ac:dyDescent="0.3">
      <c r="A15" s="10" t="s">
        <v>3104</v>
      </c>
      <c r="B15" s="11" t="s">
        <v>19</v>
      </c>
      <c r="C15" s="11" t="s">
        <v>3105</v>
      </c>
      <c r="D15" s="11" t="s">
        <v>3106</v>
      </c>
      <c r="E15" s="11" t="s">
        <v>3107</v>
      </c>
      <c r="F15" s="11" t="s">
        <v>3108</v>
      </c>
      <c r="G15" s="12" t="s">
        <v>59</v>
      </c>
      <c r="H15" s="12" t="s">
        <v>59</v>
      </c>
      <c r="I15" s="12" t="s">
        <v>508</v>
      </c>
      <c r="J15" s="11" t="s">
        <v>3109</v>
      </c>
      <c r="K15" s="12" t="s">
        <v>62</v>
      </c>
      <c r="L15" s="12" t="s">
        <v>510</v>
      </c>
    </row>
    <row r="16" spans="1:12" ht="26.4" x14ac:dyDescent="0.3">
      <c r="A16" s="10" t="s">
        <v>3110</v>
      </c>
      <c r="B16" s="11" t="s">
        <v>19</v>
      </c>
      <c r="C16" s="11" t="s">
        <v>3105</v>
      </c>
      <c r="D16" s="11" t="s">
        <v>3106</v>
      </c>
      <c r="E16" s="11" t="s">
        <v>3111</v>
      </c>
      <c r="F16" s="11" t="s">
        <v>3108</v>
      </c>
      <c r="G16" s="12" t="s">
        <v>59</v>
      </c>
      <c r="H16" s="12" t="s">
        <v>59</v>
      </c>
      <c r="I16" s="12" t="s">
        <v>508</v>
      </c>
      <c r="J16" s="11" t="s">
        <v>3109</v>
      </c>
      <c r="K16" s="12" t="s">
        <v>62</v>
      </c>
      <c r="L16" s="12" t="s">
        <v>510</v>
      </c>
    </row>
    <row r="17" spans="1:12" ht="26.4" x14ac:dyDescent="0.3">
      <c r="A17" s="10" t="s">
        <v>3112</v>
      </c>
      <c r="B17" s="11" t="s">
        <v>19</v>
      </c>
      <c r="C17" s="11" t="s">
        <v>3105</v>
      </c>
      <c r="D17" s="11" t="s">
        <v>3106</v>
      </c>
      <c r="E17" s="11" t="s">
        <v>3113</v>
      </c>
      <c r="F17" s="11" t="s">
        <v>3108</v>
      </c>
      <c r="G17" s="12" t="s">
        <v>59</v>
      </c>
      <c r="H17" s="12" t="s">
        <v>59</v>
      </c>
      <c r="I17" s="12" t="s">
        <v>508</v>
      </c>
      <c r="J17" s="11" t="s">
        <v>3109</v>
      </c>
      <c r="K17" s="12" t="s">
        <v>62</v>
      </c>
      <c r="L17" s="12" t="s">
        <v>510</v>
      </c>
    </row>
    <row r="18" spans="1:12" ht="26.4" x14ac:dyDescent="0.3">
      <c r="A18" s="10" t="s">
        <v>3114</v>
      </c>
      <c r="B18" s="11" t="s">
        <v>19</v>
      </c>
      <c r="C18" s="11" t="s">
        <v>3105</v>
      </c>
      <c r="D18" s="11" t="s">
        <v>3106</v>
      </c>
      <c r="E18" s="11" t="s">
        <v>3115</v>
      </c>
      <c r="F18" s="11" t="s">
        <v>3108</v>
      </c>
      <c r="G18" s="12" t="s">
        <v>59</v>
      </c>
      <c r="H18" s="12" t="s">
        <v>59</v>
      </c>
      <c r="I18" s="12" t="s">
        <v>508</v>
      </c>
      <c r="J18" s="11" t="s">
        <v>3109</v>
      </c>
      <c r="K18" s="12" t="s">
        <v>62</v>
      </c>
      <c r="L18" s="12" t="s">
        <v>510</v>
      </c>
    </row>
    <row r="19" spans="1:12" ht="26.4" x14ac:dyDescent="0.3">
      <c r="A19" s="10" t="s">
        <v>3116</v>
      </c>
      <c r="B19" s="11" t="s">
        <v>19</v>
      </c>
      <c r="C19" s="11" t="s">
        <v>3105</v>
      </c>
      <c r="D19" s="11" t="s">
        <v>3106</v>
      </c>
      <c r="E19" s="11" t="s">
        <v>3117</v>
      </c>
      <c r="F19" s="11" t="s">
        <v>3108</v>
      </c>
      <c r="G19" s="12" t="s">
        <v>59</v>
      </c>
      <c r="H19" s="12" t="s">
        <v>59</v>
      </c>
      <c r="I19" s="12" t="s">
        <v>508</v>
      </c>
      <c r="J19" s="11" t="s">
        <v>3109</v>
      </c>
      <c r="K19" s="12" t="s">
        <v>62</v>
      </c>
      <c r="L19" s="12" t="s">
        <v>510</v>
      </c>
    </row>
    <row r="20" spans="1:12" ht="26.4" x14ac:dyDescent="0.3">
      <c r="A20" s="10" t="s">
        <v>3118</v>
      </c>
      <c r="B20" s="11" t="s">
        <v>19</v>
      </c>
      <c r="C20" s="11" t="s">
        <v>3105</v>
      </c>
      <c r="D20" s="11" t="s">
        <v>3106</v>
      </c>
      <c r="E20" s="11" t="s">
        <v>3119</v>
      </c>
      <c r="F20" s="11" t="s">
        <v>3108</v>
      </c>
      <c r="G20" s="12" t="s">
        <v>59</v>
      </c>
      <c r="H20" s="12" t="s">
        <v>59</v>
      </c>
      <c r="I20" s="12" t="s">
        <v>508</v>
      </c>
      <c r="J20" s="11" t="s">
        <v>3109</v>
      </c>
      <c r="K20" s="12" t="s">
        <v>62</v>
      </c>
      <c r="L20" s="12" t="s">
        <v>510</v>
      </c>
    </row>
    <row r="21" spans="1:12" ht="26.4" x14ac:dyDescent="0.3">
      <c r="A21" s="10" t="s">
        <v>3120</v>
      </c>
      <c r="B21" s="11" t="s">
        <v>19</v>
      </c>
      <c r="C21" s="11" t="s">
        <v>3105</v>
      </c>
      <c r="D21" s="11" t="s">
        <v>3106</v>
      </c>
      <c r="E21" s="11" t="s">
        <v>3121</v>
      </c>
      <c r="F21" s="11" t="s">
        <v>3108</v>
      </c>
      <c r="G21" s="12" t="s">
        <v>59</v>
      </c>
      <c r="H21" s="12" t="s">
        <v>59</v>
      </c>
      <c r="I21" s="12" t="s">
        <v>508</v>
      </c>
      <c r="J21" s="11" t="s">
        <v>3109</v>
      </c>
      <c r="K21" s="12" t="s">
        <v>62</v>
      </c>
      <c r="L21" s="12" t="s">
        <v>510</v>
      </c>
    </row>
    <row r="22" spans="1:12" ht="26.4" x14ac:dyDescent="0.3">
      <c r="A22" s="10" t="s">
        <v>3122</v>
      </c>
      <c r="B22" s="11" t="s">
        <v>19</v>
      </c>
      <c r="C22" s="11" t="s">
        <v>3105</v>
      </c>
      <c r="D22" s="11" t="s">
        <v>3106</v>
      </c>
      <c r="E22" s="11" t="s">
        <v>3123</v>
      </c>
      <c r="F22" s="11" t="s">
        <v>3108</v>
      </c>
      <c r="G22" s="12" t="s">
        <v>59</v>
      </c>
      <c r="H22" s="12" t="s">
        <v>59</v>
      </c>
      <c r="I22" s="12" t="s">
        <v>508</v>
      </c>
      <c r="J22" s="11" t="s">
        <v>3109</v>
      </c>
      <c r="K22" s="12" t="s">
        <v>62</v>
      </c>
      <c r="L22" s="12" t="s">
        <v>510</v>
      </c>
    </row>
    <row r="23" spans="1:12" ht="26.4" x14ac:dyDescent="0.3">
      <c r="A23" s="10" t="s">
        <v>3124</v>
      </c>
      <c r="B23" s="11" t="s">
        <v>19</v>
      </c>
      <c r="C23" s="11" t="s">
        <v>3105</v>
      </c>
      <c r="D23" s="11" t="s">
        <v>3106</v>
      </c>
      <c r="E23" s="11" t="s">
        <v>3125</v>
      </c>
      <c r="F23" s="11" t="s">
        <v>3108</v>
      </c>
      <c r="G23" s="12" t="s">
        <v>59</v>
      </c>
      <c r="H23" s="12" t="s">
        <v>59</v>
      </c>
      <c r="I23" s="12" t="s">
        <v>508</v>
      </c>
      <c r="J23" s="11" t="s">
        <v>3109</v>
      </c>
      <c r="K23" s="12" t="s">
        <v>62</v>
      </c>
      <c r="L23" s="12" t="s">
        <v>510</v>
      </c>
    </row>
    <row r="24" spans="1:12" ht="26.4" x14ac:dyDescent="0.3">
      <c r="A24" s="10" t="s">
        <v>3126</v>
      </c>
      <c r="B24" s="11" t="s">
        <v>19</v>
      </c>
      <c r="C24" s="11" t="s">
        <v>3105</v>
      </c>
      <c r="D24" s="11" t="s">
        <v>3106</v>
      </c>
      <c r="E24" s="11" t="s">
        <v>3127</v>
      </c>
      <c r="F24" s="11" t="s">
        <v>3108</v>
      </c>
      <c r="G24" s="12" t="s">
        <v>59</v>
      </c>
      <c r="H24" s="12" t="s">
        <v>59</v>
      </c>
      <c r="I24" s="12" t="s">
        <v>508</v>
      </c>
      <c r="J24" s="11" t="s">
        <v>3109</v>
      </c>
      <c r="K24" s="12" t="s">
        <v>62</v>
      </c>
      <c r="L24" s="12" t="s">
        <v>510</v>
      </c>
    </row>
    <row r="25" spans="1:12" ht="26.4" x14ac:dyDescent="0.3">
      <c r="A25" s="10" t="s">
        <v>3128</v>
      </c>
      <c r="B25" s="11" t="s">
        <v>19</v>
      </c>
      <c r="C25" s="11" t="s">
        <v>3105</v>
      </c>
      <c r="D25" s="11" t="s">
        <v>3106</v>
      </c>
      <c r="E25" s="11" t="s">
        <v>3129</v>
      </c>
      <c r="F25" s="11" t="s">
        <v>3108</v>
      </c>
      <c r="G25" s="12" t="s">
        <v>59</v>
      </c>
      <c r="H25" s="12" t="s">
        <v>59</v>
      </c>
      <c r="I25" s="12" t="s">
        <v>508</v>
      </c>
      <c r="J25" s="11" t="s">
        <v>3109</v>
      </c>
      <c r="K25" s="12" t="s">
        <v>62</v>
      </c>
      <c r="L25" s="12" t="s">
        <v>510</v>
      </c>
    </row>
    <row r="26" spans="1:12" ht="26.4" x14ac:dyDescent="0.3">
      <c r="A26" s="10" t="s">
        <v>3130</v>
      </c>
      <c r="B26" s="11" t="s">
        <v>19</v>
      </c>
      <c r="C26" s="11" t="s">
        <v>3105</v>
      </c>
      <c r="D26" s="11" t="s">
        <v>3106</v>
      </c>
      <c r="E26" s="11" t="s">
        <v>3131</v>
      </c>
      <c r="F26" s="11" t="s">
        <v>3108</v>
      </c>
      <c r="G26" s="12" t="s">
        <v>59</v>
      </c>
      <c r="H26" s="12" t="s">
        <v>59</v>
      </c>
      <c r="I26" s="12" t="s">
        <v>508</v>
      </c>
      <c r="J26" s="11" t="s">
        <v>3109</v>
      </c>
      <c r="K26" s="12" t="s">
        <v>62</v>
      </c>
      <c r="L26" s="12" t="s">
        <v>510</v>
      </c>
    </row>
    <row r="27" spans="1:12" ht="26.4" x14ac:dyDescent="0.3">
      <c r="A27" s="10" t="s">
        <v>3132</v>
      </c>
      <c r="B27" s="11" t="s">
        <v>19</v>
      </c>
      <c r="C27" s="11" t="s">
        <v>3105</v>
      </c>
      <c r="D27" s="11" t="s">
        <v>3106</v>
      </c>
      <c r="E27" s="11" t="s">
        <v>3133</v>
      </c>
      <c r="F27" s="11" t="s">
        <v>3108</v>
      </c>
      <c r="G27" s="12" t="s">
        <v>59</v>
      </c>
      <c r="H27" s="12" t="s">
        <v>59</v>
      </c>
      <c r="I27" s="12" t="s">
        <v>508</v>
      </c>
      <c r="J27" s="11" t="s">
        <v>3109</v>
      </c>
      <c r="K27" s="12" t="s">
        <v>62</v>
      </c>
      <c r="L27" s="12" t="s">
        <v>510</v>
      </c>
    </row>
    <row r="28" spans="1:12" ht="26.4" x14ac:dyDescent="0.3">
      <c r="A28" s="10" t="s">
        <v>3134</v>
      </c>
      <c r="B28" s="11" t="s">
        <v>19</v>
      </c>
      <c r="C28" s="11" t="s">
        <v>3135</v>
      </c>
      <c r="D28" s="11" t="s">
        <v>3136</v>
      </c>
      <c r="E28" s="11" t="s">
        <v>3137</v>
      </c>
      <c r="F28" s="11" t="s">
        <v>3138</v>
      </c>
      <c r="G28" s="12" t="s">
        <v>59</v>
      </c>
      <c r="H28" s="12" t="s">
        <v>59</v>
      </c>
      <c r="I28" s="12" t="s">
        <v>508</v>
      </c>
      <c r="J28" s="11" t="s">
        <v>3139</v>
      </c>
      <c r="K28" s="12" t="s">
        <v>62</v>
      </c>
      <c r="L28" s="12" t="s">
        <v>510</v>
      </c>
    </row>
    <row r="29" spans="1:12" ht="26.4" x14ac:dyDescent="0.3">
      <c r="A29" s="10" t="s">
        <v>3140</v>
      </c>
      <c r="B29" s="11" t="s">
        <v>19</v>
      </c>
      <c r="C29" s="11" t="s">
        <v>3135</v>
      </c>
      <c r="D29" s="11" t="s">
        <v>3136</v>
      </c>
      <c r="E29" s="11" t="s">
        <v>3141</v>
      </c>
      <c r="F29" s="11" t="s">
        <v>3138</v>
      </c>
      <c r="G29" s="12" t="s">
        <v>59</v>
      </c>
      <c r="H29" s="12" t="s">
        <v>59</v>
      </c>
      <c r="I29" s="12" t="s">
        <v>508</v>
      </c>
      <c r="J29" s="11" t="s">
        <v>3139</v>
      </c>
      <c r="K29" s="12" t="s">
        <v>62</v>
      </c>
      <c r="L29" s="12" t="s">
        <v>510</v>
      </c>
    </row>
    <row r="30" spans="1:12" ht="26.4" x14ac:dyDescent="0.3">
      <c r="A30" s="10" t="s">
        <v>3142</v>
      </c>
      <c r="B30" s="11" t="s">
        <v>19</v>
      </c>
      <c r="C30" s="11" t="s">
        <v>3135</v>
      </c>
      <c r="D30" s="11" t="s">
        <v>3136</v>
      </c>
      <c r="E30" s="11" t="s">
        <v>3143</v>
      </c>
      <c r="F30" s="11" t="s">
        <v>3138</v>
      </c>
      <c r="G30" s="12" t="s">
        <v>59</v>
      </c>
      <c r="H30" s="12" t="s">
        <v>59</v>
      </c>
      <c r="I30" s="12" t="s">
        <v>508</v>
      </c>
      <c r="J30" s="11" t="s">
        <v>3139</v>
      </c>
      <c r="K30" s="12" t="s">
        <v>62</v>
      </c>
      <c r="L30" s="12" t="s">
        <v>510</v>
      </c>
    </row>
    <row r="31" spans="1:12" ht="26.4" x14ac:dyDescent="0.3">
      <c r="A31" s="10" t="s">
        <v>3144</v>
      </c>
      <c r="B31" s="11" t="s">
        <v>19</v>
      </c>
      <c r="C31" s="11" t="s">
        <v>3135</v>
      </c>
      <c r="D31" s="11" t="s">
        <v>3136</v>
      </c>
      <c r="E31" s="11" t="s">
        <v>3145</v>
      </c>
      <c r="F31" s="11" t="s">
        <v>3138</v>
      </c>
      <c r="G31" s="12" t="s">
        <v>59</v>
      </c>
      <c r="H31" s="12" t="s">
        <v>59</v>
      </c>
      <c r="I31" s="12" t="s">
        <v>508</v>
      </c>
      <c r="J31" s="11" t="s">
        <v>3139</v>
      </c>
      <c r="K31" s="12" t="s">
        <v>62</v>
      </c>
      <c r="L31" s="12" t="s">
        <v>510</v>
      </c>
    </row>
    <row r="32" spans="1:12" ht="26.4" x14ac:dyDescent="0.3">
      <c r="A32" s="10" t="s">
        <v>3146</v>
      </c>
      <c r="B32" s="11" t="s">
        <v>19</v>
      </c>
      <c r="C32" s="11" t="s">
        <v>3135</v>
      </c>
      <c r="D32" s="11" t="s">
        <v>3136</v>
      </c>
      <c r="E32" s="11" t="s">
        <v>3147</v>
      </c>
      <c r="F32" s="11" t="s">
        <v>3138</v>
      </c>
      <c r="G32" s="12" t="s">
        <v>59</v>
      </c>
      <c r="H32" s="12" t="s">
        <v>59</v>
      </c>
      <c r="I32" s="12" t="s">
        <v>508</v>
      </c>
      <c r="J32" s="11" t="s">
        <v>3139</v>
      </c>
      <c r="K32" s="12" t="s">
        <v>62</v>
      </c>
      <c r="L32" s="12" t="s">
        <v>510</v>
      </c>
    </row>
    <row r="33" spans="1:12" ht="26.4" x14ac:dyDescent="0.3">
      <c r="A33" s="10" t="s">
        <v>3148</v>
      </c>
      <c r="B33" s="11" t="s">
        <v>19</v>
      </c>
      <c r="C33" s="11" t="s">
        <v>3135</v>
      </c>
      <c r="D33" s="11" t="s">
        <v>3136</v>
      </c>
      <c r="E33" s="11" t="s">
        <v>3149</v>
      </c>
      <c r="F33" s="11" t="s">
        <v>3138</v>
      </c>
      <c r="G33" s="12" t="s">
        <v>59</v>
      </c>
      <c r="H33" s="12" t="s">
        <v>59</v>
      </c>
      <c r="I33" s="12" t="s">
        <v>508</v>
      </c>
      <c r="J33" s="11" t="s">
        <v>3139</v>
      </c>
      <c r="K33" s="12" t="s">
        <v>62</v>
      </c>
      <c r="L33" s="12" t="s">
        <v>510</v>
      </c>
    </row>
    <row r="34" spans="1:12" ht="26.4" x14ac:dyDescent="0.3">
      <c r="A34" s="10" t="s">
        <v>3150</v>
      </c>
      <c r="B34" s="11" t="s">
        <v>19</v>
      </c>
      <c r="C34" s="11" t="s">
        <v>3135</v>
      </c>
      <c r="D34" s="11" t="s">
        <v>3136</v>
      </c>
      <c r="E34" s="11" t="s">
        <v>3151</v>
      </c>
      <c r="F34" s="11" t="s">
        <v>3152</v>
      </c>
      <c r="G34" s="12" t="s">
        <v>59</v>
      </c>
      <c r="H34" s="12" t="s">
        <v>59</v>
      </c>
      <c r="I34" s="12" t="s">
        <v>508</v>
      </c>
      <c r="J34" s="11" t="s">
        <v>3139</v>
      </c>
      <c r="K34" s="12" t="s">
        <v>62</v>
      </c>
      <c r="L34" s="12" t="s">
        <v>510</v>
      </c>
    </row>
    <row r="35" spans="1:12" ht="39.6" x14ac:dyDescent="0.3">
      <c r="A35" s="10" t="s">
        <v>3153</v>
      </c>
      <c r="B35" s="11" t="s">
        <v>19</v>
      </c>
      <c r="C35" s="11" t="s">
        <v>3154</v>
      </c>
      <c r="D35" s="11" t="s">
        <v>3155</v>
      </c>
      <c r="E35" s="11" t="s">
        <v>3156</v>
      </c>
      <c r="F35" s="11" t="s">
        <v>3157</v>
      </c>
      <c r="G35" s="12" t="s">
        <v>59</v>
      </c>
      <c r="H35" s="12" t="s">
        <v>59</v>
      </c>
      <c r="I35" s="12" t="s">
        <v>508</v>
      </c>
      <c r="J35" s="11" t="s">
        <v>3158</v>
      </c>
      <c r="K35" s="12" t="s">
        <v>62</v>
      </c>
      <c r="L35" s="12" t="s">
        <v>510</v>
      </c>
    </row>
    <row r="36" spans="1:12" ht="39.6" x14ac:dyDescent="0.3">
      <c r="A36" s="10" t="s">
        <v>3159</v>
      </c>
      <c r="B36" s="11" t="s">
        <v>19</v>
      </c>
      <c r="C36" s="11" t="s">
        <v>3160</v>
      </c>
      <c r="D36" s="11" t="s">
        <v>3155</v>
      </c>
      <c r="E36" s="11" t="s">
        <v>3161</v>
      </c>
      <c r="F36" s="11" t="s">
        <v>3157</v>
      </c>
      <c r="G36" s="12" t="s">
        <v>59</v>
      </c>
      <c r="H36" s="12" t="s">
        <v>59</v>
      </c>
      <c r="I36" s="12" t="s">
        <v>508</v>
      </c>
      <c r="J36" s="11" t="s">
        <v>3158</v>
      </c>
      <c r="K36" s="12" t="s">
        <v>62</v>
      </c>
      <c r="L36" s="12" t="s">
        <v>510</v>
      </c>
    </row>
    <row r="37" spans="1:12" ht="39.6" x14ac:dyDescent="0.3">
      <c r="A37" s="10" t="s">
        <v>3162</v>
      </c>
      <c r="B37" s="11" t="s">
        <v>19</v>
      </c>
      <c r="C37" s="11" t="s">
        <v>3163</v>
      </c>
      <c r="D37" s="11" t="s">
        <v>3155</v>
      </c>
      <c r="E37" s="11" t="s">
        <v>3164</v>
      </c>
      <c r="F37" s="11" t="s">
        <v>3157</v>
      </c>
      <c r="G37" s="12" t="s">
        <v>59</v>
      </c>
      <c r="H37" s="12" t="s">
        <v>59</v>
      </c>
      <c r="I37" s="12" t="s">
        <v>508</v>
      </c>
      <c r="J37" s="11" t="s">
        <v>3158</v>
      </c>
      <c r="K37" s="12" t="s">
        <v>62</v>
      </c>
      <c r="L37" s="12" t="s">
        <v>510</v>
      </c>
    </row>
    <row r="38" spans="1:12" ht="39.6" x14ac:dyDescent="0.3">
      <c r="A38" s="10" t="s">
        <v>3165</v>
      </c>
      <c r="B38" s="11" t="s">
        <v>19</v>
      </c>
      <c r="C38" s="11" t="s">
        <v>3166</v>
      </c>
      <c r="D38" s="11" t="s">
        <v>3155</v>
      </c>
      <c r="E38" s="11" t="s">
        <v>3167</v>
      </c>
      <c r="F38" s="11" t="s">
        <v>3157</v>
      </c>
      <c r="G38" s="12" t="s">
        <v>59</v>
      </c>
      <c r="H38" s="12" t="s">
        <v>59</v>
      </c>
      <c r="I38" s="12" t="s">
        <v>508</v>
      </c>
      <c r="J38" s="11" t="s">
        <v>3158</v>
      </c>
      <c r="K38" s="12" t="s">
        <v>62</v>
      </c>
      <c r="L38" s="12" t="s">
        <v>510</v>
      </c>
    </row>
    <row r="39" spans="1:12" ht="39.6" x14ac:dyDescent="0.3">
      <c r="A39" s="10" t="s">
        <v>3168</v>
      </c>
      <c r="B39" s="11" t="s">
        <v>19</v>
      </c>
      <c r="C39" s="11" t="s">
        <v>3169</v>
      </c>
      <c r="D39" s="11" t="s">
        <v>3155</v>
      </c>
      <c r="E39" s="11" t="s">
        <v>3170</v>
      </c>
      <c r="F39" s="11" t="s">
        <v>3157</v>
      </c>
      <c r="G39" s="12" t="s">
        <v>59</v>
      </c>
      <c r="H39" s="12" t="s">
        <v>59</v>
      </c>
      <c r="I39" s="12" t="s">
        <v>508</v>
      </c>
      <c r="J39" s="11" t="s">
        <v>3158</v>
      </c>
      <c r="K39" s="12" t="s">
        <v>62</v>
      </c>
      <c r="L39" s="12" t="s">
        <v>510</v>
      </c>
    </row>
    <row r="40" spans="1:12" ht="39.6" x14ac:dyDescent="0.3">
      <c r="A40" s="10" t="s">
        <v>3171</v>
      </c>
      <c r="B40" s="11" t="s">
        <v>19</v>
      </c>
      <c r="C40" s="11" t="s">
        <v>3172</v>
      </c>
      <c r="D40" s="11" t="s">
        <v>3155</v>
      </c>
      <c r="E40" s="11" t="s">
        <v>3173</v>
      </c>
      <c r="F40" s="11" t="s">
        <v>3157</v>
      </c>
      <c r="G40" s="12" t="s">
        <v>59</v>
      </c>
      <c r="H40" s="12" t="s">
        <v>59</v>
      </c>
      <c r="I40" s="12" t="s">
        <v>508</v>
      </c>
      <c r="J40" s="11" t="s">
        <v>3158</v>
      </c>
      <c r="K40" s="12" t="s">
        <v>62</v>
      </c>
      <c r="L40" s="12" t="s">
        <v>510</v>
      </c>
    </row>
    <row r="41" spans="1:12" ht="39.6" x14ac:dyDescent="0.3">
      <c r="A41" s="10" t="s">
        <v>3174</v>
      </c>
      <c r="B41" s="11" t="s">
        <v>19</v>
      </c>
      <c r="C41" s="11" t="s">
        <v>3175</v>
      </c>
      <c r="D41" s="11" t="s">
        <v>3155</v>
      </c>
      <c r="E41" s="11" t="s">
        <v>3176</v>
      </c>
      <c r="F41" s="11" t="s">
        <v>3157</v>
      </c>
      <c r="G41" s="12" t="s">
        <v>59</v>
      </c>
      <c r="H41" s="12" t="s">
        <v>59</v>
      </c>
      <c r="I41" s="12" t="s">
        <v>508</v>
      </c>
      <c r="J41" s="11" t="s">
        <v>3158</v>
      </c>
      <c r="K41" s="12" t="s">
        <v>62</v>
      </c>
      <c r="L41" s="12" t="s">
        <v>510</v>
      </c>
    </row>
    <row r="42" spans="1:12" ht="39.6" x14ac:dyDescent="0.3">
      <c r="A42" s="10" t="s">
        <v>3177</v>
      </c>
      <c r="B42" s="11" t="s">
        <v>19</v>
      </c>
      <c r="C42" s="11" t="s">
        <v>3178</v>
      </c>
      <c r="D42" s="11" t="s">
        <v>3155</v>
      </c>
      <c r="E42" s="11" t="s">
        <v>3179</v>
      </c>
      <c r="F42" s="11" t="s">
        <v>3157</v>
      </c>
      <c r="G42" s="12" t="s">
        <v>59</v>
      </c>
      <c r="H42" s="12" t="s">
        <v>59</v>
      </c>
      <c r="I42" s="12" t="s">
        <v>508</v>
      </c>
      <c r="J42" s="11" t="s">
        <v>3158</v>
      </c>
      <c r="K42" s="12" t="s">
        <v>62</v>
      </c>
      <c r="L42" s="12" t="s">
        <v>510</v>
      </c>
    </row>
    <row r="43" spans="1:12" ht="39.6" x14ac:dyDescent="0.3">
      <c r="A43" s="10" t="s">
        <v>3180</v>
      </c>
      <c r="B43" s="11" t="s">
        <v>19</v>
      </c>
      <c r="C43" s="11" t="s">
        <v>3181</v>
      </c>
      <c r="D43" s="11" t="s">
        <v>3155</v>
      </c>
      <c r="E43" s="11" t="s">
        <v>3182</v>
      </c>
      <c r="F43" s="11" t="s">
        <v>3157</v>
      </c>
      <c r="G43" s="12" t="s">
        <v>59</v>
      </c>
      <c r="H43" s="12" t="s">
        <v>59</v>
      </c>
      <c r="I43" s="12" t="s">
        <v>508</v>
      </c>
      <c r="J43" s="11" t="s">
        <v>3158</v>
      </c>
      <c r="K43" s="12" t="s">
        <v>62</v>
      </c>
      <c r="L43" s="12" t="s">
        <v>510</v>
      </c>
    </row>
    <row r="44" spans="1:12" ht="39.6" x14ac:dyDescent="0.3">
      <c r="A44" s="10" t="s">
        <v>3183</v>
      </c>
      <c r="B44" s="11" t="s">
        <v>19</v>
      </c>
      <c r="C44" s="11" t="s">
        <v>3184</v>
      </c>
      <c r="D44" s="11" t="s">
        <v>3155</v>
      </c>
      <c r="E44" s="11" t="s">
        <v>3185</v>
      </c>
      <c r="F44" s="11" t="s">
        <v>3157</v>
      </c>
      <c r="G44" s="12" t="s">
        <v>59</v>
      </c>
      <c r="H44" s="12" t="s">
        <v>59</v>
      </c>
      <c r="I44" s="12" t="s">
        <v>508</v>
      </c>
      <c r="J44" s="11" t="s">
        <v>3158</v>
      </c>
      <c r="K44" s="12" t="s">
        <v>62</v>
      </c>
      <c r="L44" s="12" t="s">
        <v>510</v>
      </c>
    </row>
    <row r="45" spans="1:12" ht="39.6" x14ac:dyDescent="0.3">
      <c r="A45" s="10" t="s">
        <v>3186</v>
      </c>
      <c r="B45" s="11" t="s">
        <v>19</v>
      </c>
      <c r="C45" s="11" t="s">
        <v>3187</v>
      </c>
      <c r="D45" s="11" t="s">
        <v>3155</v>
      </c>
      <c r="E45" s="11" t="s">
        <v>3188</v>
      </c>
      <c r="F45" s="11" t="s">
        <v>3157</v>
      </c>
      <c r="G45" s="12" t="s">
        <v>59</v>
      </c>
      <c r="H45" s="12" t="s">
        <v>59</v>
      </c>
      <c r="I45" s="12" t="s">
        <v>508</v>
      </c>
      <c r="J45" s="11" t="s">
        <v>3158</v>
      </c>
      <c r="K45" s="12" t="s">
        <v>62</v>
      </c>
      <c r="L45" s="12" t="s">
        <v>510</v>
      </c>
    </row>
    <row r="46" spans="1:12" ht="39.6" x14ac:dyDescent="0.3">
      <c r="A46" s="10" t="s">
        <v>3189</v>
      </c>
      <c r="B46" s="11" t="s">
        <v>19</v>
      </c>
      <c r="C46" s="11" t="s">
        <v>3190</v>
      </c>
      <c r="D46" s="11" t="s">
        <v>3155</v>
      </c>
      <c r="E46" s="11" t="s">
        <v>3191</v>
      </c>
      <c r="F46" s="11" t="s">
        <v>3157</v>
      </c>
      <c r="G46" s="12" t="s">
        <v>59</v>
      </c>
      <c r="H46" s="12" t="s">
        <v>59</v>
      </c>
      <c r="I46" s="12" t="s">
        <v>508</v>
      </c>
      <c r="J46" s="11" t="s">
        <v>3158</v>
      </c>
      <c r="K46" s="12" t="s">
        <v>62</v>
      </c>
      <c r="L46" s="12" t="s">
        <v>510</v>
      </c>
    </row>
    <row r="47" spans="1:12" ht="39.6" x14ac:dyDescent="0.3">
      <c r="A47" s="10" t="s">
        <v>3192</v>
      </c>
      <c r="B47" s="11" t="s">
        <v>19</v>
      </c>
      <c r="C47" s="11" t="s">
        <v>3193</v>
      </c>
      <c r="D47" s="11" t="s">
        <v>3155</v>
      </c>
      <c r="E47" s="11" t="s">
        <v>3194</v>
      </c>
      <c r="F47" s="11" t="s">
        <v>3157</v>
      </c>
      <c r="G47" s="12" t="s">
        <v>59</v>
      </c>
      <c r="H47" s="12" t="s">
        <v>59</v>
      </c>
      <c r="I47" s="12" t="s">
        <v>508</v>
      </c>
      <c r="J47" s="11" t="s">
        <v>3158</v>
      </c>
      <c r="K47" s="12" t="s">
        <v>62</v>
      </c>
      <c r="L47" s="12" t="s">
        <v>510</v>
      </c>
    </row>
    <row r="48" spans="1:12" ht="39.6" x14ac:dyDescent="0.3">
      <c r="A48" s="10" t="s">
        <v>3195</v>
      </c>
      <c r="B48" s="11" t="s">
        <v>19</v>
      </c>
      <c r="C48" s="11" t="s">
        <v>3196</v>
      </c>
      <c r="D48" s="11" t="s">
        <v>3155</v>
      </c>
      <c r="E48" s="11" t="s">
        <v>3197</v>
      </c>
      <c r="F48" s="11" t="s">
        <v>3157</v>
      </c>
      <c r="G48" s="12" t="s">
        <v>59</v>
      </c>
      <c r="H48" s="12" t="s">
        <v>59</v>
      </c>
      <c r="I48" s="12" t="s">
        <v>508</v>
      </c>
      <c r="J48" s="11" t="s">
        <v>3158</v>
      </c>
      <c r="K48" s="12" t="s">
        <v>62</v>
      </c>
      <c r="L48" s="12" t="s">
        <v>510</v>
      </c>
    </row>
    <row r="49" spans="1:12" ht="39.6" x14ac:dyDescent="0.3">
      <c r="A49" s="10" t="s">
        <v>3198</v>
      </c>
      <c r="B49" s="11" t="s">
        <v>19</v>
      </c>
      <c r="C49" s="11" t="s">
        <v>3199</v>
      </c>
      <c r="D49" s="11" t="s">
        <v>3155</v>
      </c>
      <c r="E49" s="11" t="s">
        <v>3200</v>
      </c>
      <c r="F49" s="11" t="s">
        <v>3157</v>
      </c>
      <c r="G49" s="12" t="s">
        <v>59</v>
      </c>
      <c r="H49" s="12" t="s">
        <v>59</v>
      </c>
      <c r="I49" s="12" t="s">
        <v>508</v>
      </c>
      <c r="J49" s="11" t="s">
        <v>3158</v>
      </c>
      <c r="K49" s="12" t="s">
        <v>62</v>
      </c>
      <c r="L49" s="12" t="s">
        <v>510</v>
      </c>
    </row>
    <row r="50" spans="1:12" ht="39.6" x14ac:dyDescent="0.3">
      <c r="A50" s="10" t="s">
        <v>3201</v>
      </c>
      <c r="B50" s="11" t="s">
        <v>19</v>
      </c>
      <c r="C50" s="11" t="s">
        <v>3202</v>
      </c>
      <c r="D50" s="11" t="s">
        <v>3155</v>
      </c>
      <c r="E50" s="11" t="s">
        <v>3203</v>
      </c>
      <c r="F50" s="11" t="s">
        <v>3157</v>
      </c>
      <c r="G50" s="12" t="s">
        <v>59</v>
      </c>
      <c r="H50" s="12" t="s">
        <v>59</v>
      </c>
      <c r="I50" s="12" t="s">
        <v>508</v>
      </c>
      <c r="J50" s="11" t="s">
        <v>3158</v>
      </c>
      <c r="K50" s="12" t="s">
        <v>62</v>
      </c>
      <c r="L50" s="12" t="s">
        <v>510</v>
      </c>
    </row>
    <row r="51" spans="1:12" ht="39.6" x14ac:dyDescent="0.3">
      <c r="A51" s="10" t="s">
        <v>3204</v>
      </c>
      <c r="B51" s="11" t="s">
        <v>19</v>
      </c>
      <c r="C51" s="11" t="s">
        <v>3205</v>
      </c>
      <c r="D51" s="11" t="s">
        <v>3155</v>
      </c>
      <c r="E51" s="11" t="s">
        <v>3206</v>
      </c>
      <c r="F51" s="11" t="s">
        <v>3157</v>
      </c>
      <c r="G51" s="12" t="s">
        <v>59</v>
      </c>
      <c r="H51" s="12" t="s">
        <v>59</v>
      </c>
      <c r="I51" s="12" t="s">
        <v>508</v>
      </c>
      <c r="J51" s="11" t="s">
        <v>3158</v>
      </c>
      <c r="K51" s="12" t="s">
        <v>62</v>
      </c>
      <c r="L51" s="12" t="s">
        <v>510</v>
      </c>
    </row>
    <row r="52" spans="1:12" ht="39.6" x14ac:dyDescent="0.3">
      <c r="A52" s="10" t="s">
        <v>3207</v>
      </c>
      <c r="B52" s="11" t="s">
        <v>19</v>
      </c>
      <c r="C52" s="11" t="s">
        <v>3208</v>
      </c>
      <c r="D52" s="11" t="s">
        <v>3155</v>
      </c>
      <c r="E52" s="11" t="s">
        <v>3209</v>
      </c>
      <c r="F52" s="11" t="s">
        <v>3157</v>
      </c>
      <c r="G52" s="12" t="s">
        <v>59</v>
      </c>
      <c r="H52" s="12" t="s">
        <v>59</v>
      </c>
      <c r="I52" s="12" t="s">
        <v>508</v>
      </c>
      <c r="J52" s="11" t="s">
        <v>3158</v>
      </c>
      <c r="K52" s="12" t="s">
        <v>62</v>
      </c>
      <c r="L52" s="12" t="s">
        <v>510</v>
      </c>
    </row>
    <row r="53" spans="1:12" ht="39.6" x14ac:dyDescent="0.3">
      <c r="A53" s="10" t="s">
        <v>3210</v>
      </c>
      <c r="B53" s="11" t="s">
        <v>19</v>
      </c>
      <c r="C53" s="11" t="s">
        <v>3211</v>
      </c>
      <c r="D53" s="11" t="s">
        <v>3155</v>
      </c>
      <c r="E53" s="11" t="s">
        <v>3212</v>
      </c>
      <c r="F53" s="11" t="s">
        <v>3157</v>
      </c>
      <c r="G53" s="12" t="s">
        <v>59</v>
      </c>
      <c r="H53" s="12" t="s">
        <v>59</v>
      </c>
      <c r="I53" s="12" t="s">
        <v>508</v>
      </c>
      <c r="J53" s="11" t="s">
        <v>3158</v>
      </c>
      <c r="K53" s="12" t="s">
        <v>62</v>
      </c>
      <c r="L53" s="12" t="s">
        <v>510</v>
      </c>
    </row>
    <row r="54" spans="1:12" ht="39.6" x14ac:dyDescent="0.3">
      <c r="A54" s="10" t="s">
        <v>3213</v>
      </c>
      <c r="B54" s="11" t="s">
        <v>19</v>
      </c>
      <c r="C54" s="11" t="s">
        <v>3214</v>
      </c>
      <c r="D54" s="11" t="s">
        <v>3155</v>
      </c>
      <c r="E54" s="11" t="s">
        <v>3215</v>
      </c>
      <c r="F54" s="11" t="s">
        <v>3157</v>
      </c>
      <c r="G54" s="12" t="s">
        <v>59</v>
      </c>
      <c r="H54" s="12" t="s">
        <v>59</v>
      </c>
      <c r="I54" s="12" t="s">
        <v>508</v>
      </c>
      <c r="J54" s="11" t="s">
        <v>3158</v>
      </c>
      <c r="K54" s="12" t="s">
        <v>62</v>
      </c>
      <c r="L54" s="12" t="s">
        <v>510</v>
      </c>
    </row>
    <row r="55" spans="1:12" ht="39.6" x14ac:dyDescent="0.3">
      <c r="A55" s="10" t="s">
        <v>3216</v>
      </c>
      <c r="B55" s="11" t="s">
        <v>19</v>
      </c>
      <c r="C55" s="11" t="s">
        <v>3217</v>
      </c>
      <c r="D55" s="11" t="s">
        <v>3155</v>
      </c>
      <c r="E55" s="11" t="s">
        <v>3218</v>
      </c>
      <c r="F55" s="11" t="s">
        <v>3157</v>
      </c>
      <c r="G55" s="12" t="s">
        <v>59</v>
      </c>
      <c r="H55" s="12" t="s">
        <v>59</v>
      </c>
      <c r="I55" s="12" t="s">
        <v>508</v>
      </c>
      <c r="J55" s="11" t="s">
        <v>3158</v>
      </c>
      <c r="K55" s="12" t="s">
        <v>62</v>
      </c>
      <c r="L55" s="12" t="s">
        <v>510</v>
      </c>
    </row>
    <row r="56" spans="1:12" ht="39.6" x14ac:dyDescent="0.3">
      <c r="A56" s="10" t="s">
        <v>3219</v>
      </c>
      <c r="B56" s="11" t="s">
        <v>19</v>
      </c>
      <c r="C56" s="11" t="s">
        <v>3220</v>
      </c>
      <c r="D56" s="11" t="s">
        <v>3155</v>
      </c>
      <c r="E56" s="11" t="s">
        <v>3221</v>
      </c>
      <c r="F56" s="11" t="s">
        <v>3157</v>
      </c>
      <c r="G56" s="12" t="s">
        <v>59</v>
      </c>
      <c r="H56" s="12" t="s">
        <v>59</v>
      </c>
      <c r="I56" s="12" t="s">
        <v>508</v>
      </c>
      <c r="J56" s="11" t="s">
        <v>3158</v>
      </c>
      <c r="K56" s="12" t="s">
        <v>62</v>
      </c>
      <c r="L56" s="12" t="s">
        <v>510</v>
      </c>
    </row>
    <row r="57" spans="1:12" ht="39.6" x14ac:dyDescent="0.3">
      <c r="A57" s="10" t="s">
        <v>3222</v>
      </c>
      <c r="B57" s="11" t="s">
        <v>19</v>
      </c>
      <c r="C57" s="11" t="s">
        <v>3223</v>
      </c>
      <c r="D57" s="11" t="s">
        <v>3155</v>
      </c>
      <c r="E57" s="11" t="s">
        <v>3224</v>
      </c>
      <c r="F57" s="11" t="s">
        <v>3157</v>
      </c>
      <c r="G57" s="12" t="s">
        <v>59</v>
      </c>
      <c r="H57" s="12" t="s">
        <v>59</v>
      </c>
      <c r="I57" s="12" t="s">
        <v>508</v>
      </c>
      <c r="J57" s="11" t="s">
        <v>3158</v>
      </c>
      <c r="K57" s="12" t="s">
        <v>62</v>
      </c>
      <c r="L57" s="12" t="s">
        <v>510</v>
      </c>
    </row>
    <row r="58" spans="1:12" ht="39.6" x14ac:dyDescent="0.3">
      <c r="A58" s="10" t="s">
        <v>3225</v>
      </c>
      <c r="B58" s="11" t="s">
        <v>19</v>
      </c>
      <c r="C58" s="11" t="s">
        <v>3226</v>
      </c>
      <c r="D58" s="11" t="s">
        <v>3155</v>
      </c>
      <c r="E58" s="11" t="s">
        <v>3227</v>
      </c>
      <c r="F58" s="11" t="s">
        <v>3157</v>
      </c>
      <c r="G58" s="12" t="s">
        <v>59</v>
      </c>
      <c r="H58" s="12" t="s">
        <v>59</v>
      </c>
      <c r="I58" s="12" t="s">
        <v>508</v>
      </c>
      <c r="J58" s="11" t="s">
        <v>3158</v>
      </c>
      <c r="K58" s="12" t="s">
        <v>62</v>
      </c>
      <c r="L58" s="12" t="s">
        <v>510</v>
      </c>
    </row>
    <row r="59" spans="1:12" ht="39.6" x14ac:dyDescent="0.3">
      <c r="A59" s="10" t="s">
        <v>3228</v>
      </c>
      <c r="B59" s="11" t="s">
        <v>19</v>
      </c>
      <c r="C59" s="11" t="s">
        <v>3229</v>
      </c>
      <c r="D59" s="11" t="s">
        <v>3155</v>
      </c>
      <c r="E59" s="11" t="s">
        <v>3230</v>
      </c>
      <c r="F59" s="11" t="s">
        <v>3157</v>
      </c>
      <c r="G59" s="12" t="s">
        <v>59</v>
      </c>
      <c r="H59" s="12" t="s">
        <v>59</v>
      </c>
      <c r="I59" s="12" t="s">
        <v>508</v>
      </c>
      <c r="J59" s="11" t="s">
        <v>3158</v>
      </c>
      <c r="K59" s="12" t="s">
        <v>62</v>
      </c>
      <c r="L59" s="12" t="s">
        <v>510</v>
      </c>
    </row>
    <row r="60" spans="1:12" ht="39.6" x14ac:dyDescent="0.3">
      <c r="A60" s="10" t="s">
        <v>3231</v>
      </c>
      <c r="B60" s="11" t="s">
        <v>19</v>
      </c>
      <c r="C60" s="11" t="s">
        <v>3232</v>
      </c>
      <c r="D60" s="11" t="s">
        <v>3155</v>
      </c>
      <c r="E60" s="11" t="s">
        <v>3233</v>
      </c>
      <c r="F60" s="11" t="s">
        <v>3157</v>
      </c>
      <c r="G60" s="12" t="s">
        <v>59</v>
      </c>
      <c r="H60" s="12" t="s">
        <v>59</v>
      </c>
      <c r="I60" s="12" t="s">
        <v>508</v>
      </c>
      <c r="J60" s="11" t="s">
        <v>3158</v>
      </c>
      <c r="K60" s="12" t="s">
        <v>62</v>
      </c>
      <c r="L60" s="12" t="s">
        <v>510</v>
      </c>
    </row>
    <row r="61" spans="1:12" ht="39.6" x14ac:dyDescent="0.3">
      <c r="A61" s="10" t="s">
        <v>3234</v>
      </c>
      <c r="B61" s="11" t="s">
        <v>19</v>
      </c>
      <c r="C61" s="11" t="s">
        <v>3235</v>
      </c>
      <c r="D61" s="11" t="s">
        <v>3155</v>
      </c>
      <c r="E61" s="11" t="s">
        <v>3236</v>
      </c>
      <c r="F61" s="11" t="s">
        <v>3157</v>
      </c>
      <c r="G61" s="12" t="s">
        <v>59</v>
      </c>
      <c r="H61" s="12" t="s">
        <v>59</v>
      </c>
      <c r="I61" s="12" t="s">
        <v>508</v>
      </c>
      <c r="J61" s="11" t="s">
        <v>3158</v>
      </c>
      <c r="K61" s="12" t="s">
        <v>62</v>
      </c>
      <c r="L61" s="12" t="s">
        <v>510</v>
      </c>
    </row>
    <row r="62" spans="1:12" ht="39.6" x14ac:dyDescent="0.3">
      <c r="A62" s="10" t="s">
        <v>3237</v>
      </c>
      <c r="B62" s="11" t="s">
        <v>19</v>
      </c>
      <c r="C62" s="11" t="s">
        <v>3238</v>
      </c>
      <c r="D62" s="11" t="s">
        <v>3155</v>
      </c>
      <c r="E62" s="11" t="s">
        <v>3239</v>
      </c>
      <c r="F62" s="11" t="s">
        <v>3157</v>
      </c>
      <c r="G62" s="12" t="s">
        <v>59</v>
      </c>
      <c r="H62" s="12" t="s">
        <v>59</v>
      </c>
      <c r="I62" s="12" t="s">
        <v>508</v>
      </c>
      <c r="J62" s="11" t="s">
        <v>3158</v>
      </c>
      <c r="K62" s="12" t="s">
        <v>62</v>
      </c>
      <c r="L62" s="12" t="s">
        <v>510</v>
      </c>
    </row>
    <row r="63" spans="1:12" ht="39.6" x14ac:dyDescent="0.3">
      <c r="A63" s="10" t="s">
        <v>3240</v>
      </c>
      <c r="B63" s="11" t="s">
        <v>19</v>
      </c>
      <c r="C63" s="11" t="s">
        <v>3241</v>
      </c>
      <c r="D63" s="11" t="s">
        <v>3155</v>
      </c>
      <c r="E63" s="11" t="s">
        <v>3242</v>
      </c>
      <c r="F63" s="11" t="s">
        <v>3243</v>
      </c>
      <c r="G63" s="12" t="s">
        <v>59</v>
      </c>
      <c r="H63" s="12" t="s">
        <v>59</v>
      </c>
      <c r="I63" s="12" t="s">
        <v>508</v>
      </c>
      <c r="J63" s="11" t="s">
        <v>3158</v>
      </c>
      <c r="K63" s="12" t="s">
        <v>62</v>
      </c>
      <c r="L63" s="12" t="s">
        <v>510</v>
      </c>
    </row>
    <row r="64" spans="1:12" ht="39.6" x14ac:dyDescent="0.3">
      <c r="A64" s="10" t="s">
        <v>3244</v>
      </c>
      <c r="B64" s="11" t="s">
        <v>19</v>
      </c>
      <c r="C64" s="11" t="s">
        <v>3245</v>
      </c>
      <c r="D64" s="11" t="s">
        <v>3155</v>
      </c>
      <c r="E64" s="11" t="s">
        <v>3246</v>
      </c>
      <c r="F64" s="11" t="s">
        <v>3157</v>
      </c>
      <c r="G64" s="12" t="s">
        <v>59</v>
      </c>
      <c r="H64" s="12" t="s">
        <v>59</v>
      </c>
      <c r="I64" s="12" t="s">
        <v>508</v>
      </c>
      <c r="J64" s="11" t="s">
        <v>3158</v>
      </c>
      <c r="K64" s="12" t="s">
        <v>62</v>
      </c>
      <c r="L64" s="12" t="s">
        <v>510</v>
      </c>
    </row>
    <row r="65" spans="1:12" ht="39.6" x14ac:dyDescent="0.3">
      <c r="A65" s="10" t="s">
        <v>3247</v>
      </c>
      <c r="B65" s="11" t="s">
        <v>19</v>
      </c>
      <c r="C65" s="11" t="s">
        <v>3248</v>
      </c>
      <c r="D65" s="11" t="s">
        <v>3155</v>
      </c>
      <c r="E65" s="11" t="s">
        <v>3249</v>
      </c>
      <c r="F65" s="11" t="s">
        <v>3138</v>
      </c>
      <c r="G65" s="12" t="s">
        <v>59</v>
      </c>
      <c r="H65" s="12" t="s">
        <v>59</v>
      </c>
      <c r="I65" s="12" t="s">
        <v>508</v>
      </c>
      <c r="J65" s="11" t="s">
        <v>3158</v>
      </c>
      <c r="K65" s="12" t="s">
        <v>62</v>
      </c>
      <c r="L65" s="12" t="s">
        <v>510</v>
      </c>
    </row>
    <row r="66" spans="1:12" ht="39.6" x14ac:dyDescent="0.3">
      <c r="A66" s="10" t="s">
        <v>3250</v>
      </c>
      <c r="B66" s="11" t="s">
        <v>19</v>
      </c>
      <c r="C66" s="11" t="s">
        <v>3251</v>
      </c>
      <c r="D66" s="11" t="s">
        <v>3155</v>
      </c>
      <c r="E66" s="11" t="s">
        <v>3252</v>
      </c>
      <c r="F66" s="11" t="s">
        <v>3138</v>
      </c>
      <c r="G66" s="12" t="s">
        <v>59</v>
      </c>
      <c r="H66" s="12" t="s">
        <v>59</v>
      </c>
      <c r="I66" s="12" t="s">
        <v>508</v>
      </c>
      <c r="J66" s="11" t="s">
        <v>3158</v>
      </c>
      <c r="K66" s="12" t="s">
        <v>62</v>
      </c>
      <c r="L66" s="12" t="s">
        <v>510</v>
      </c>
    </row>
    <row r="67" spans="1:12" ht="39.6" x14ac:dyDescent="0.3">
      <c r="A67" s="10" t="s">
        <v>3253</v>
      </c>
      <c r="B67" s="11" t="s">
        <v>19</v>
      </c>
      <c r="C67" s="11" t="s">
        <v>3254</v>
      </c>
      <c r="D67" s="11" t="s">
        <v>3155</v>
      </c>
      <c r="E67" s="11" t="s">
        <v>3255</v>
      </c>
      <c r="F67" s="11" t="s">
        <v>3152</v>
      </c>
      <c r="G67" s="12" t="s">
        <v>59</v>
      </c>
      <c r="H67" s="12" t="s">
        <v>59</v>
      </c>
      <c r="I67" s="12" t="s">
        <v>508</v>
      </c>
      <c r="J67" s="11" t="s">
        <v>3158</v>
      </c>
      <c r="K67" s="12" t="s">
        <v>62</v>
      </c>
      <c r="L67" s="12" t="s">
        <v>510</v>
      </c>
    </row>
    <row r="68" spans="1:12" ht="39.6" x14ac:dyDescent="0.3">
      <c r="A68" s="10" t="s">
        <v>3256</v>
      </c>
      <c r="B68" s="11" t="s">
        <v>19</v>
      </c>
      <c r="C68" s="11" t="s">
        <v>3257</v>
      </c>
      <c r="D68" s="11" t="s">
        <v>3155</v>
      </c>
      <c r="E68" s="11" t="s">
        <v>3258</v>
      </c>
      <c r="F68" s="11" t="s">
        <v>3138</v>
      </c>
      <c r="G68" s="12" t="s">
        <v>59</v>
      </c>
      <c r="H68" s="12" t="s">
        <v>59</v>
      </c>
      <c r="I68" s="12" t="s">
        <v>508</v>
      </c>
      <c r="J68" s="11" t="s">
        <v>3158</v>
      </c>
      <c r="K68" s="12" t="s">
        <v>62</v>
      </c>
      <c r="L68" s="12" t="s">
        <v>510</v>
      </c>
    </row>
    <row r="69" spans="1:12" ht="39.6" x14ac:dyDescent="0.3">
      <c r="A69" s="10" t="s">
        <v>3259</v>
      </c>
      <c r="B69" s="11" t="s">
        <v>19</v>
      </c>
      <c r="C69" s="11" t="s">
        <v>3260</v>
      </c>
      <c r="D69" s="11" t="s">
        <v>3155</v>
      </c>
      <c r="E69" s="11" t="s">
        <v>3261</v>
      </c>
      <c r="F69" s="11" t="s">
        <v>3157</v>
      </c>
      <c r="G69" s="12" t="s">
        <v>59</v>
      </c>
      <c r="H69" s="12" t="s">
        <v>59</v>
      </c>
      <c r="I69" s="12" t="s">
        <v>508</v>
      </c>
      <c r="J69" s="11" t="s">
        <v>3158</v>
      </c>
      <c r="K69" s="12" t="s">
        <v>62</v>
      </c>
      <c r="L69" s="12" t="s">
        <v>510</v>
      </c>
    </row>
    <row r="70" spans="1:12" ht="39.6" x14ac:dyDescent="0.3">
      <c r="A70" s="10" t="s">
        <v>3262</v>
      </c>
      <c r="B70" s="11" t="s">
        <v>19</v>
      </c>
      <c r="C70" s="11" t="s">
        <v>3263</v>
      </c>
      <c r="D70" s="11" t="s">
        <v>3155</v>
      </c>
      <c r="E70" s="11" t="s">
        <v>3264</v>
      </c>
      <c r="F70" s="11" t="s">
        <v>3157</v>
      </c>
      <c r="G70" s="12" t="s">
        <v>59</v>
      </c>
      <c r="H70" s="12" t="s">
        <v>59</v>
      </c>
      <c r="I70" s="12" t="s">
        <v>508</v>
      </c>
      <c r="J70" s="11" t="s">
        <v>3158</v>
      </c>
      <c r="K70" s="12" t="s">
        <v>62</v>
      </c>
      <c r="L70" s="12" t="s">
        <v>510</v>
      </c>
    </row>
    <row r="71" spans="1:12" ht="39.6" x14ac:dyDescent="0.3">
      <c r="A71" s="10" t="s">
        <v>3265</v>
      </c>
      <c r="B71" s="11" t="s">
        <v>19</v>
      </c>
      <c r="C71" s="11" t="s">
        <v>3266</v>
      </c>
      <c r="D71" s="11" t="s">
        <v>3155</v>
      </c>
      <c r="E71" s="11" t="s">
        <v>3267</v>
      </c>
      <c r="F71" s="11" t="s">
        <v>3152</v>
      </c>
      <c r="G71" s="12" t="s">
        <v>59</v>
      </c>
      <c r="H71" s="12" t="s">
        <v>59</v>
      </c>
      <c r="I71" s="12" t="s">
        <v>508</v>
      </c>
      <c r="J71" s="11" t="s">
        <v>3158</v>
      </c>
      <c r="K71" s="12" t="s">
        <v>62</v>
      </c>
      <c r="L71" s="12" t="s">
        <v>510</v>
      </c>
    </row>
    <row r="72" spans="1:12" ht="39.6" x14ac:dyDescent="0.3">
      <c r="A72" s="10" t="s">
        <v>3268</v>
      </c>
      <c r="B72" s="11" t="s">
        <v>19</v>
      </c>
      <c r="C72" s="11" t="s">
        <v>3269</v>
      </c>
      <c r="D72" s="11" t="s">
        <v>3155</v>
      </c>
      <c r="E72" s="11" t="s">
        <v>3270</v>
      </c>
      <c r="F72" s="11" t="s">
        <v>3138</v>
      </c>
      <c r="G72" s="12" t="s">
        <v>59</v>
      </c>
      <c r="H72" s="12" t="s">
        <v>59</v>
      </c>
      <c r="I72" s="12" t="s">
        <v>508</v>
      </c>
      <c r="J72" s="11" t="s">
        <v>3158</v>
      </c>
      <c r="K72" s="12" t="s">
        <v>62</v>
      </c>
      <c r="L72" s="12" t="s">
        <v>510</v>
      </c>
    </row>
    <row r="73" spans="1:12" ht="39.6" x14ac:dyDescent="0.3">
      <c r="A73" s="10" t="s">
        <v>3271</v>
      </c>
      <c r="B73" s="11" t="s">
        <v>19</v>
      </c>
      <c r="C73" s="11" t="s">
        <v>3272</v>
      </c>
      <c r="D73" s="11" t="s">
        <v>3155</v>
      </c>
      <c r="E73" s="11" t="s">
        <v>3273</v>
      </c>
      <c r="F73" s="11" t="s">
        <v>3157</v>
      </c>
      <c r="G73" s="12" t="s">
        <v>59</v>
      </c>
      <c r="H73" s="12" t="s">
        <v>59</v>
      </c>
      <c r="I73" s="12" t="s">
        <v>508</v>
      </c>
      <c r="J73" s="11" t="s">
        <v>3158</v>
      </c>
      <c r="K73" s="12" t="s">
        <v>62</v>
      </c>
      <c r="L73" s="12" t="s">
        <v>510</v>
      </c>
    </row>
    <row r="74" spans="1:12" ht="39.6" x14ac:dyDescent="0.3">
      <c r="A74" s="10" t="s">
        <v>3274</v>
      </c>
      <c r="B74" s="11" t="s">
        <v>19</v>
      </c>
      <c r="C74" s="11" t="s">
        <v>3275</v>
      </c>
      <c r="D74" s="11" t="s">
        <v>3155</v>
      </c>
      <c r="E74" s="11" t="s">
        <v>3276</v>
      </c>
      <c r="F74" s="11" t="s">
        <v>3157</v>
      </c>
      <c r="G74" s="12" t="s">
        <v>59</v>
      </c>
      <c r="H74" s="12" t="s">
        <v>59</v>
      </c>
      <c r="I74" s="12" t="s">
        <v>508</v>
      </c>
      <c r="J74" s="11" t="s">
        <v>3158</v>
      </c>
      <c r="K74" s="12" t="s">
        <v>62</v>
      </c>
      <c r="L74" s="12" t="s">
        <v>510</v>
      </c>
    </row>
    <row r="75" spans="1:12" ht="39.6" x14ac:dyDescent="0.3">
      <c r="A75" s="10" t="s">
        <v>3277</v>
      </c>
      <c r="B75" s="11" t="s">
        <v>19</v>
      </c>
      <c r="C75" s="11" t="s">
        <v>3278</v>
      </c>
      <c r="D75" s="11" t="s">
        <v>3155</v>
      </c>
      <c r="E75" s="11" t="s">
        <v>3279</v>
      </c>
      <c r="F75" s="11" t="s">
        <v>3152</v>
      </c>
      <c r="G75" s="12" t="s">
        <v>59</v>
      </c>
      <c r="H75" s="12" t="s">
        <v>59</v>
      </c>
      <c r="I75" s="12" t="s">
        <v>508</v>
      </c>
      <c r="J75" s="11" t="s">
        <v>3158</v>
      </c>
      <c r="K75" s="12" t="s">
        <v>62</v>
      </c>
      <c r="L75" s="12" t="s">
        <v>510</v>
      </c>
    </row>
    <row r="76" spans="1:12" ht="39.6" x14ac:dyDescent="0.3">
      <c r="A76" s="10" t="s">
        <v>3280</v>
      </c>
      <c r="B76" s="11" t="s">
        <v>19</v>
      </c>
      <c r="C76" s="11" t="s">
        <v>3281</v>
      </c>
      <c r="D76" s="11" t="s">
        <v>3155</v>
      </c>
      <c r="E76" s="11" t="s">
        <v>3282</v>
      </c>
      <c r="F76" s="11" t="s">
        <v>3138</v>
      </c>
      <c r="G76" s="12" t="s">
        <v>59</v>
      </c>
      <c r="H76" s="12" t="s">
        <v>59</v>
      </c>
      <c r="I76" s="12" t="s">
        <v>508</v>
      </c>
      <c r="J76" s="11" t="s">
        <v>3158</v>
      </c>
      <c r="K76" s="12" t="s">
        <v>62</v>
      </c>
      <c r="L76" s="12" t="s">
        <v>510</v>
      </c>
    </row>
    <row r="77" spans="1:12" ht="39.6" x14ac:dyDescent="0.3">
      <c r="A77" s="10" t="s">
        <v>3283</v>
      </c>
      <c r="B77" s="11" t="s">
        <v>19</v>
      </c>
      <c r="C77" s="11" t="s">
        <v>3284</v>
      </c>
      <c r="D77" s="11" t="s">
        <v>3155</v>
      </c>
      <c r="E77" s="11" t="s">
        <v>3285</v>
      </c>
      <c r="F77" s="11" t="s">
        <v>3157</v>
      </c>
      <c r="G77" s="12" t="s">
        <v>59</v>
      </c>
      <c r="H77" s="12" t="s">
        <v>59</v>
      </c>
      <c r="I77" s="12" t="s">
        <v>508</v>
      </c>
      <c r="J77" s="11" t="s">
        <v>3158</v>
      </c>
      <c r="K77" s="12" t="s">
        <v>62</v>
      </c>
      <c r="L77" s="12" t="s">
        <v>510</v>
      </c>
    </row>
    <row r="78" spans="1:12" ht="39.6" x14ac:dyDescent="0.3">
      <c r="A78" s="10" t="s">
        <v>3286</v>
      </c>
      <c r="B78" s="11" t="s">
        <v>19</v>
      </c>
      <c r="C78" s="11" t="s">
        <v>3287</v>
      </c>
      <c r="D78" s="11" t="s">
        <v>3155</v>
      </c>
      <c r="E78" s="11" t="s">
        <v>3288</v>
      </c>
      <c r="F78" s="11" t="s">
        <v>3157</v>
      </c>
      <c r="G78" s="12" t="s">
        <v>59</v>
      </c>
      <c r="H78" s="12" t="s">
        <v>59</v>
      </c>
      <c r="I78" s="12" t="s">
        <v>508</v>
      </c>
      <c r="J78" s="11" t="s">
        <v>3158</v>
      </c>
      <c r="K78" s="12" t="s">
        <v>62</v>
      </c>
      <c r="L78" s="12" t="s">
        <v>510</v>
      </c>
    </row>
    <row r="79" spans="1:12" ht="39.6" x14ac:dyDescent="0.3">
      <c r="A79" s="10" t="s">
        <v>3289</v>
      </c>
      <c r="B79" s="11" t="s">
        <v>19</v>
      </c>
      <c r="C79" s="11" t="s">
        <v>3290</v>
      </c>
      <c r="D79" s="11" t="s">
        <v>3155</v>
      </c>
      <c r="E79" s="11" t="s">
        <v>3291</v>
      </c>
      <c r="F79" s="11" t="s">
        <v>3152</v>
      </c>
      <c r="G79" s="12" t="s">
        <v>59</v>
      </c>
      <c r="H79" s="12" t="s">
        <v>59</v>
      </c>
      <c r="I79" s="12" t="s">
        <v>508</v>
      </c>
      <c r="J79" s="11" t="s">
        <v>3158</v>
      </c>
      <c r="K79" s="12" t="s">
        <v>62</v>
      </c>
      <c r="L79" s="12" t="s">
        <v>510</v>
      </c>
    </row>
    <row r="80" spans="1:12" ht="39.6" x14ac:dyDescent="0.3">
      <c r="A80" s="10" t="s">
        <v>3292</v>
      </c>
      <c r="B80" s="11" t="s">
        <v>19</v>
      </c>
      <c r="C80" s="11" t="s">
        <v>3293</v>
      </c>
      <c r="D80" s="11" t="s">
        <v>3155</v>
      </c>
      <c r="E80" s="11" t="s">
        <v>3294</v>
      </c>
      <c r="F80" s="11" t="s">
        <v>3138</v>
      </c>
      <c r="G80" s="12" t="s">
        <v>59</v>
      </c>
      <c r="H80" s="12" t="s">
        <v>59</v>
      </c>
      <c r="I80" s="12" t="s">
        <v>508</v>
      </c>
      <c r="J80" s="11" t="s">
        <v>3158</v>
      </c>
      <c r="K80" s="12" t="s">
        <v>62</v>
      </c>
      <c r="L80" s="12" t="s">
        <v>510</v>
      </c>
    </row>
    <row r="81" spans="1:12" ht="39.6" x14ac:dyDescent="0.3">
      <c r="A81" s="10" t="s">
        <v>3295</v>
      </c>
      <c r="B81" s="11" t="s">
        <v>19</v>
      </c>
      <c r="C81" s="11" t="s">
        <v>3296</v>
      </c>
      <c r="D81" s="11" t="s">
        <v>3155</v>
      </c>
      <c r="E81" s="11" t="s">
        <v>3297</v>
      </c>
      <c r="F81" s="11" t="s">
        <v>3157</v>
      </c>
      <c r="G81" s="12" t="s">
        <v>59</v>
      </c>
      <c r="H81" s="12" t="s">
        <v>59</v>
      </c>
      <c r="I81" s="12" t="s">
        <v>508</v>
      </c>
      <c r="J81" s="11" t="s">
        <v>3158</v>
      </c>
      <c r="K81" s="12" t="s">
        <v>62</v>
      </c>
      <c r="L81" s="12" t="s">
        <v>510</v>
      </c>
    </row>
    <row r="82" spans="1:12" ht="39.6" x14ac:dyDescent="0.3">
      <c r="A82" s="10" t="s">
        <v>3298</v>
      </c>
      <c r="B82" s="11" t="s">
        <v>19</v>
      </c>
      <c r="C82" s="11" t="s">
        <v>3299</v>
      </c>
      <c r="D82" s="11" t="s">
        <v>3155</v>
      </c>
      <c r="E82" s="11" t="s">
        <v>3300</v>
      </c>
      <c r="F82" s="11" t="s">
        <v>3157</v>
      </c>
      <c r="G82" s="12" t="s">
        <v>59</v>
      </c>
      <c r="H82" s="12" t="s">
        <v>59</v>
      </c>
      <c r="I82" s="12" t="s">
        <v>508</v>
      </c>
      <c r="J82" s="11" t="s">
        <v>3158</v>
      </c>
      <c r="K82" s="12" t="s">
        <v>62</v>
      </c>
      <c r="L82" s="12" t="s">
        <v>510</v>
      </c>
    </row>
    <row r="83" spans="1:12" ht="39.6" x14ac:dyDescent="0.3">
      <c r="A83" s="10" t="s">
        <v>3301</v>
      </c>
      <c r="B83" s="11" t="s">
        <v>19</v>
      </c>
      <c r="C83" s="11" t="s">
        <v>3302</v>
      </c>
      <c r="D83" s="11" t="s">
        <v>3155</v>
      </c>
      <c r="E83" s="11" t="s">
        <v>3303</v>
      </c>
      <c r="F83" s="11" t="s">
        <v>3152</v>
      </c>
      <c r="G83" s="12" t="s">
        <v>59</v>
      </c>
      <c r="H83" s="12" t="s">
        <v>59</v>
      </c>
      <c r="I83" s="12" t="s">
        <v>508</v>
      </c>
      <c r="J83" s="11" t="s">
        <v>3158</v>
      </c>
      <c r="K83" s="12" t="s">
        <v>62</v>
      </c>
      <c r="L83" s="12" t="s">
        <v>510</v>
      </c>
    </row>
    <row r="84" spans="1:12" ht="39.6" x14ac:dyDescent="0.3">
      <c r="A84" s="10" t="s">
        <v>3304</v>
      </c>
      <c r="B84" s="11" t="s">
        <v>19</v>
      </c>
      <c r="C84" s="11" t="s">
        <v>3305</v>
      </c>
      <c r="D84" s="11" t="s">
        <v>3155</v>
      </c>
      <c r="E84" s="11" t="s">
        <v>3306</v>
      </c>
      <c r="F84" s="11" t="s">
        <v>3138</v>
      </c>
      <c r="G84" s="12" t="s">
        <v>59</v>
      </c>
      <c r="H84" s="12" t="s">
        <v>59</v>
      </c>
      <c r="I84" s="12" t="s">
        <v>508</v>
      </c>
      <c r="J84" s="11" t="s">
        <v>3158</v>
      </c>
      <c r="K84" s="12" t="s">
        <v>62</v>
      </c>
      <c r="L84" s="12" t="s">
        <v>510</v>
      </c>
    </row>
    <row r="85" spans="1:12" ht="39.6" x14ac:dyDescent="0.3">
      <c r="A85" s="10" t="s">
        <v>3307</v>
      </c>
      <c r="B85" s="11" t="s">
        <v>19</v>
      </c>
      <c r="C85" s="11" t="s">
        <v>3308</v>
      </c>
      <c r="D85" s="11" t="s">
        <v>3155</v>
      </c>
      <c r="E85" s="11" t="s">
        <v>3309</v>
      </c>
      <c r="F85" s="11" t="s">
        <v>3157</v>
      </c>
      <c r="G85" s="12" t="s">
        <v>59</v>
      </c>
      <c r="H85" s="12" t="s">
        <v>59</v>
      </c>
      <c r="I85" s="12" t="s">
        <v>508</v>
      </c>
      <c r="J85" s="11" t="s">
        <v>3158</v>
      </c>
      <c r="K85" s="12" t="s">
        <v>62</v>
      </c>
      <c r="L85" s="12" t="s">
        <v>510</v>
      </c>
    </row>
    <row r="86" spans="1:12" ht="39.6" x14ac:dyDescent="0.3">
      <c r="A86" s="10" t="s">
        <v>3310</v>
      </c>
      <c r="B86" s="11" t="s">
        <v>19</v>
      </c>
      <c r="C86" s="11" t="s">
        <v>3311</v>
      </c>
      <c r="D86" s="11" t="s">
        <v>3155</v>
      </c>
      <c r="E86" s="11" t="s">
        <v>3312</v>
      </c>
      <c r="F86" s="11" t="s">
        <v>3157</v>
      </c>
      <c r="G86" s="12" t="s">
        <v>59</v>
      </c>
      <c r="H86" s="12" t="s">
        <v>59</v>
      </c>
      <c r="I86" s="12" t="s">
        <v>508</v>
      </c>
      <c r="J86" s="11" t="s">
        <v>3158</v>
      </c>
      <c r="K86" s="12" t="s">
        <v>62</v>
      </c>
      <c r="L86" s="12" t="s">
        <v>510</v>
      </c>
    </row>
    <row r="87" spans="1:12" ht="39.6" x14ac:dyDescent="0.3">
      <c r="A87" s="10" t="s">
        <v>3313</v>
      </c>
      <c r="B87" s="11" t="s">
        <v>19</v>
      </c>
      <c r="C87" s="11" t="s">
        <v>3314</v>
      </c>
      <c r="D87" s="11" t="s">
        <v>3155</v>
      </c>
      <c r="E87" s="11" t="s">
        <v>3315</v>
      </c>
      <c r="F87" s="11" t="s">
        <v>3152</v>
      </c>
      <c r="G87" s="12" t="s">
        <v>59</v>
      </c>
      <c r="H87" s="12" t="s">
        <v>59</v>
      </c>
      <c r="I87" s="12" t="s">
        <v>508</v>
      </c>
      <c r="J87" s="11" t="s">
        <v>3158</v>
      </c>
      <c r="K87" s="12" t="s">
        <v>62</v>
      </c>
      <c r="L87" s="12" t="s">
        <v>510</v>
      </c>
    </row>
    <row r="88" spans="1:12" ht="39.6" x14ac:dyDescent="0.3">
      <c r="A88" s="10" t="s">
        <v>3316</v>
      </c>
      <c r="B88" s="11" t="s">
        <v>19</v>
      </c>
      <c r="C88" s="11" t="s">
        <v>3317</v>
      </c>
      <c r="D88" s="11" t="s">
        <v>3155</v>
      </c>
      <c r="E88" s="11" t="s">
        <v>3318</v>
      </c>
      <c r="F88" s="11" t="s">
        <v>3138</v>
      </c>
      <c r="G88" s="12" t="s">
        <v>59</v>
      </c>
      <c r="H88" s="12" t="s">
        <v>59</v>
      </c>
      <c r="I88" s="12" t="s">
        <v>508</v>
      </c>
      <c r="J88" s="11" t="s">
        <v>3158</v>
      </c>
      <c r="K88" s="12" t="s">
        <v>62</v>
      </c>
      <c r="L88" s="12" t="s">
        <v>510</v>
      </c>
    </row>
    <row r="89" spans="1:12" ht="39.6" x14ac:dyDescent="0.3">
      <c r="A89" s="10" t="s">
        <v>3319</v>
      </c>
      <c r="B89" s="11" t="s">
        <v>19</v>
      </c>
      <c r="C89" s="11" t="s">
        <v>3320</v>
      </c>
      <c r="D89" s="11" t="s">
        <v>3155</v>
      </c>
      <c r="E89" s="11" t="s">
        <v>3321</v>
      </c>
      <c r="F89" s="11" t="s">
        <v>3157</v>
      </c>
      <c r="G89" s="12" t="s">
        <v>59</v>
      </c>
      <c r="H89" s="12" t="s">
        <v>59</v>
      </c>
      <c r="I89" s="12" t="s">
        <v>508</v>
      </c>
      <c r="J89" s="11" t="s">
        <v>3158</v>
      </c>
      <c r="K89" s="12" t="s">
        <v>62</v>
      </c>
      <c r="L89" s="12" t="s">
        <v>510</v>
      </c>
    </row>
    <row r="90" spans="1:12" ht="39.6" x14ac:dyDescent="0.3">
      <c r="A90" s="10" t="s">
        <v>3322</v>
      </c>
      <c r="B90" s="11" t="s">
        <v>19</v>
      </c>
      <c r="C90" s="11" t="s">
        <v>3323</v>
      </c>
      <c r="D90" s="11" t="s">
        <v>3155</v>
      </c>
      <c r="E90" s="11" t="s">
        <v>3324</v>
      </c>
      <c r="F90" s="11" t="s">
        <v>3157</v>
      </c>
      <c r="G90" s="12" t="s">
        <v>59</v>
      </c>
      <c r="H90" s="12" t="s">
        <v>59</v>
      </c>
      <c r="I90" s="12" t="s">
        <v>508</v>
      </c>
      <c r="J90" s="11" t="s">
        <v>3158</v>
      </c>
      <c r="K90" s="12" t="s">
        <v>62</v>
      </c>
      <c r="L90" s="12" t="s">
        <v>510</v>
      </c>
    </row>
    <row r="91" spans="1:12" ht="39.6" x14ac:dyDescent="0.3">
      <c r="A91" s="10" t="s">
        <v>3325</v>
      </c>
      <c r="B91" s="11" t="s">
        <v>19</v>
      </c>
      <c r="C91" s="11" t="s">
        <v>3326</v>
      </c>
      <c r="D91" s="11" t="s">
        <v>3155</v>
      </c>
      <c r="E91" s="11" t="s">
        <v>3327</v>
      </c>
      <c r="F91" s="11" t="s">
        <v>3152</v>
      </c>
      <c r="G91" s="12" t="s">
        <v>59</v>
      </c>
      <c r="H91" s="12" t="s">
        <v>59</v>
      </c>
      <c r="I91" s="12" t="s">
        <v>508</v>
      </c>
      <c r="J91" s="11" t="s">
        <v>3158</v>
      </c>
      <c r="K91" s="12" t="s">
        <v>62</v>
      </c>
      <c r="L91" s="12" t="s">
        <v>510</v>
      </c>
    </row>
    <row r="92" spans="1:12" ht="39.6" x14ac:dyDescent="0.3">
      <c r="A92" s="10" t="s">
        <v>3328</v>
      </c>
      <c r="B92" s="11" t="s">
        <v>19</v>
      </c>
      <c r="C92" s="11" t="s">
        <v>3329</v>
      </c>
      <c r="D92" s="11" t="s">
        <v>3155</v>
      </c>
      <c r="E92" s="11" t="s">
        <v>3330</v>
      </c>
      <c r="F92" s="11" t="s">
        <v>3138</v>
      </c>
      <c r="G92" s="12" t="s">
        <v>59</v>
      </c>
      <c r="H92" s="12" t="s">
        <v>59</v>
      </c>
      <c r="I92" s="12" t="s">
        <v>508</v>
      </c>
      <c r="J92" s="11" t="s">
        <v>3158</v>
      </c>
      <c r="K92" s="12" t="s">
        <v>62</v>
      </c>
      <c r="L92" s="12" t="s">
        <v>510</v>
      </c>
    </row>
    <row r="93" spans="1:12" ht="39.6" x14ac:dyDescent="0.3">
      <c r="A93" s="10" t="s">
        <v>3331</v>
      </c>
      <c r="B93" s="11" t="s">
        <v>19</v>
      </c>
      <c r="C93" s="11" t="s">
        <v>3332</v>
      </c>
      <c r="D93" s="11" t="s">
        <v>3155</v>
      </c>
      <c r="E93" s="11" t="s">
        <v>3333</v>
      </c>
      <c r="F93" s="11" t="s">
        <v>3157</v>
      </c>
      <c r="G93" s="12" t="s">
        <v>59</v>
      </c>
      <c r="H93" s="12" t="s">
        <v>59</v>
      </c>
      <c r="I93" s="12" t="s">
        <v>508</v>
      </c>
      <c r="J93" s="11" t="s">
        <v>3158</v>
      </c>
      <c r="K93" s="12" t="s">
        <v>62</v>
      </c>
      <c r="L93" s="12" t="s">
        <v>510</v>
      </c>
    </row>
    <row r="94" spans="1:12" ht="39.6" x14ac:dyDescent="0.3">
      <c r="A94" s="10" t="s">
        <v>3334</v>
      </c>
      <c r="B94" s="11" t="s">
        <v>19</v>
      </c>
      <c r="C94" s="11" t="s">
        <v>3335</v>
      </c>
      <c r="D94" s="11" t="s">
        <v>3155</v>
      </c>
      <c r="E94" s="11" t="s">
        <v>3336</v>
      </c>
      <c r="F94" s="11" t="s">
        <v>3157</v>
      </c>
      <c r="G94" s="12" t="s">
        <v>59</v>
      </c>
      <c r="H94" s="12" t="s">
        <v>59</v>
      </c>
      <c r="I94" s="12" t="s">
        <v>508</v>
      </c>
      <c r="J94" s="11" t="s">
        <v>3158</v>
      </c>
      <c r="K94" s="12" t="s">
        <v>62</v>
      </c>
      <c r="L94" s="12" t="s">
        <v>510</v>
      </c>
    </row>
    <row r="95" spans="1:12" ht="39.6" x14ac:dyDescent="0.3">
      <c r="A95" s="10" t="s">
        <v>3337</v>
      </c>
      <c r="B95" s="11" t="s">
        <v>19</v>
      </c>
      <c r="C95" s="11" t="s">
        <v>3338</v>
      </c>
      <c r="D95" s="11" t="s">
        <v>3155</v>
      </c>
      <c r="E95" s="11" t="s">
        <v>3339</v>
      </c>
      <c r="F95" s="11" t="s">
        <v>3152</v>
      </c>
      <c r="G95" s="12" t="s">
        <v>59</v>
      </c>
      <c r="H95" s="12" t="s">
        <v>59</v>
      </c>
      <c r="I95" s="12" t="s">
        <v>508</v>
      </c>
      <c r="J95" s="11" t="s">
        <v>3158</v>
      </c>
      <c r="K95" s="12" t="s">
        <v>62</v>
      </c>
      <c r="L95" s="12" t="s">
        <v>510</v>
      </c>
    </row>
    <row r="96" spans="1:12" ht="39.6" x14ac:dyDescent="0.3">
      <c r="A96" s="10" t="s">
        <v>3340</v>
      </c>
      <c r="B96" s="11" t="s">
        <v>19</v>
      </c>
      <c r="C96" s="11" t="s">
        <v>3341</v>
      </c>
      <c r="D96" s="11" t="s">
        <v>3155</v>
      </c>
      <c r="E96" s="11" t="s">
        <v>3342</v>
      </c>
      <c r="F96" s="11" t="s">
        <v>3138</v>
      </c>
      <c r="G96" s="12" t="s">
        <v>59</v>
      </c>
      <c r="H96" s="12" t="s">
        <v>59</v>
      </c>
      <c r="I96" s="12" t="s">
        <v>508</v>
      </c>
      <c r="J96" s="11" t="s">
        <v>3158</v>
      </c>
      <c r="K96" s="12" t="s">
        <v>62</v>
      </c>
      <c r="L96" s="12" t="s">
        <v>510</v>
      </c>
    </row>
    <row r="97" spans="1:12" ht="39.6" x14ac:dyDescent="0.3">
      <c r="A97" s="10" t="s">
        <v>3343</v>
      </c>
      <c r="B97" s="11" t="s">
        <v>19</v>
      </c>
      <c r="C97" s="11" t="s">
        <v>3344</v>
      </c>
      <c r="D97" s="11" t="s">
        <v>3155</v>
      </c>
      <c r="E97" s="11" t="s">
        <v>3345</v>
      </c>
      <c r="F97" s="11" t="s">
        <v>3157</v>
      </c>
      <c r="G97" s="12" t="s">
        <v>59</v>
      </c>
      <c r="H97" s="12" t="s">
        <v>59</v>
      </c>
      <c r="I97" s="12" t="s">
        <v>508</v>
      </c>
      <c r="J97" s="11" t="s">
        <v>3158</v>
      </c>
      <c r="K97" s="12" t="s">
        <v>62</v>
      </c>
      <c r="L97" s="12" t="s">
        <v>510</v>
      </c>
    </row>
    <row r="98" spans="1:12" ht="39.6" x14ac:dyDescent="0.3">
      <c r="A98" s="10" t="s">
        <v>3346</v>
      </c>
      <c r="B98" s="11" t="s">
        <v>19</v>
      </c>
      <c r="C98" s="11" t="s">
        <v>3347</v>
      </c>
      <c r="D98" s="11" t="s">
        <v>3155</v>
      </c>
      <c r="E98" s="11" t="s">
        <v>3348</v>
      </c>
      <c r="F98" s="11" t="s">
        <v>3157</v>
      </c>
      <c r="G98" s="12" t="s">
        <v>59</v>
      </c>
      <c r="H98" s="12" t="s">
        <v>59</v>
      </c>
      <c r="I98" s="12" t="s">
        <v>508</v>
      </c>
      <c r="J98" s="11" t="s">
        <v>3158</v>
      </c>
      <c r="K98" s="12" t="s">
        <v>62</v>
      </c>
      <c r="L98" s="12" t="s">
        <v>510</v>
      </c>
    </row>
    <row r="99" spans="1:12" ht="39.6" x14ac:dyDescent="0.3">
      <c r="A99" s="10" t="s">
        <v>3349</v>
      </c>
      <c r="B99" s="11" t="s">
        <v>19</v>
      </c>
      <c r="C99" s="11" t="s">
        <v>3350</v>
      </c>
      <c r="D99" s="11" t="s">
        <v>3155</v>
      </c>
      <c r="E99" s="11" t="s">
        <v>3351</v>
      </c>
      <c r="F99" s="11" t="s">
        <v>3152</v>
      </c>
      <c r="G99" s="12" t="s">
        <v>59</v>
      </c>
      <c r="H99" s="12" t="s">
        <v>59</v>
      </c>
      <c r="I99" s="12" t="s">
        <v>508</v>
      </c>
      <c r="J99" s="11" t="s">
        <v>3158</v>
      </c>
      <c r="K99" s="12" t="s">
        <v>62</v>
      </c>
      <c r="L99" s="12" t="s">
        <v>510</v>
      </c>
    </row>
    <row r="100" spans="1:12" ht="39.6" x14ac:dyDescent="0.3">
      <c r="A100" s="10" t="s">
        <v>3352</v>
      </c>
      <c r="B100" s="11" t="s">
        <v>19</v>
      </c>
      <c r="C100" s="11" t="s">
        <v>3353</v>
      </c>
      <c r="D100" s="11" t="s">
        <v>3155</v>
      </c>
      <c r="E100" s="11" t="s">
        <v>3354</v>
      </c>
      <c r="F100" s="11" t="s">
        <v>3138</v>
      </c>
      <c r="G100" s="12" t="s">
        <v>59</v>
      </c>
      <c r="H100" s="12" t="s">
        <v>59</v>
      </c>
      <c r="I100" s="12" t="s">
        <v>508</v>
      </c>
      <c r="J100" s="11" t="s">
        <v>3158</v>
      </c>
      <c r="K100" s="12" t="s">
        <v>62</v>
      </c>
      <c r="L100" s="12" t="s">
        <v>510</v>
      </c>
    </row>
    <row r="101" spans="1:12" ht="39.6" x14ac:dyDescent="0.3">
      <c r="A101" s="10" t="s">
        <v>3355</v>
      </c>
      <c r="B101" s="11" t="s">
        <v>19</v>
      </c>
      <c r="C101" s="11" t="s">
        <v>3356</v>
      </c>
      <c r="D101" s="11" t="s">
        <v>3155</v>
      </c>
      <c r="E101" s="11" t="s">
        <v>3357</v>
      </c>
      <c r="F101" s="11" t="s">
        <v>3157</v>
      </c>
      <c r="G101" s="12" t="s">
        <v>59</v>
      </c>
      <c r="H101" s="12" t="s">
        <v>59</v>
      </c>
      <c r="I101" s="12" t="s">
        <v>508</v>
      </c>
      <c r="J101" s="11" t="s">
        <v>3158</v>
      </c>
      <c r="K101" s="12" t="s">
        <v>62</v>
      </c>
      <c r="L101" s="12" t="s">
        <v>510</v>
      </c>
    </row>
    <row r="102" spans="1:12" ht="39.6" x14ac:dyDescent="0.3">
      <c r="A102" s="10" t="s">
        <v>3358</v>
      </c>
      <c r="B102" s="11" t="s">
        <v>19</v>
      </c>
      <c r="C102" s="11" t="s">
        <v>3359</v>
      </c>
      <c r="D102" s="11" t="s">
        <v>3155</v>
      </c>
      <c r="E102" s="11" t="s">
        <v>3360</v>
      </c>
      <c r="F102" s="11" t="s">
        <v>3157</v>
      </c>
      <c r="G102" s="12" t="s">
        <v>59</v>
      </c>
      <c r="H102" s="12" t="s">
        <v>59</v>
      </c>
      <c r="I102" s="12" t="s">
        <v>508</v>
      </c>
      <c r="J102" s="11" t="s">
        <v>3158</v>
      </c>
      <c r="K102" s="12" t="s">
        <v>62</v>
      </c>
      <c r="L102" s="12" t="s">
        <v>510</v>
      </c>
    </row>
    <row r="103" spans="1:12" ht="39.6" x14ac:dyDescent="0.3">
      <c r="A103" s="10" t="s">
        <v>3361</v>
      </c>
      <c r="B103" s="11" t="s">
        <v>19</v>
      </c>
      <c r="C103" s="11" t="s">
        <v>3362</v>
      </c>
      <c r="D103" s="11" t="s">
        <v>3155</v>
      </c>
      <c r="E103" s="11" t="s">
        <v>3363</v>
      </c>
      <c r="F103" s="11" t="s">
        <v>3152</v>
      </c>
      <c r="G103" s="12" t="s">
        <v>59</v>
      </c>
      <c r="H103" s="12" t="s">
        <v>59</v>
      </c>
      <c r="I103" s="12" t="s">
        <v>508</v>
      </c>
      <c r="J103" s="11" t="s">
        <v>3158</v>
      </c>
      <c r="K103" s="12" t="s">
        <v>62</v>
      </c>
      <c r="L103" s="12" t="s">
        <v>510</v>
      </c>
    </row>
    <row r="104" spans="1:12" ht="39.6" x14ac:dyDescent="0.3">
      <c r="A104" s="10" t="s">
        <v>3364</v>
      </c>
      <c r="B104" s="11" t="s">
        <v>19</v>
      </c>
      <c r="C104" s="11" t="s">
        <v>3365</v>
      </c>
      <c r="D104" s="11" t="s">
        <v>3155</v>
      </c>
      <c r="E104" s="11" t="s">
        <v>3366</v>
      </c>
      <c r="F104" s="11" t="s">
        <v>3138</v>
      </c>
      <c r="G104" s="12" t="s">
        <v>59</v>
      </c>
      <c r="H104" s="12" t="s">
        <v>59</v>
      </c>
      <c r="I104" s="12" t="s">
        <v>508</v>
      </c>
      <c r="J104" s="11" t="s">
        <v>3158</v>
      </c>
      <c r="K104" s="12" t="s">
        <v>62</v>
      </c>
      <c r="L104" s="12" t="s">
        <v>510</v>
      </c>
    </row>
    <row r="105" spans="1:12" ht="39.6" x14ac:dyDescent="0.3">
      <c r="A105" s="10" t="s">
        <v>3367</v>
      </c>
      <c r="B105" s="11" t="s">
        <v>19</v>
      </c>
      <c r="C105" s="11" t="s">
        <v>3368</v>
      </c>
      <c r="D105" s="11" t="s">
        <v>3155</v>
      </c>
      <c r="E105" s="11" t="s">
        <v>3369</v>
      </c>
      <c r="F105" s="11" t="s">
        <v>3138</v>
      </c>
      <c r="G105" s="12" t="s">
        <v>59</v>
      </c>
      <c r="H105" s="12" t="s">
        <v>59</v>
      </c>
      <c r="I105" s="12" t="s">
        <v>508</v>
      </c>
      <c r="J105" s="11" t="s">
        <v>3158</v>
      </c>
      <c r="K105" s="12" t="s">
        <v>62</v>
      </c>
      <c r="L105" s="12" t="s">
        <v>510</v>
      </c>
    </row>
    <row r="106" spans="1:12" ht="39.6" x14ac:dyDescent="0.3">
      <c r="A106" s="10" t="s">
        <v>3370</v>
      </c>
      <c r="B106" s="11" t="s">
        <v>19</v>
      </c>
      <c r="C106" s="11" t="s">
        <v>3371</v>
      </c>
      <c r="D106" s="11" t="s">
        <v>3155</v>
      </c>
      <c r="E106" s="11" t="s">
        <v>3372</v>
      </c>
      <c r="F106" s="11" t="s">
        <v>3157</v>
      </c>
      <c r="G106" s="12" t="s">
        <v>59</v>
      </c>
      <c r="H106" s="12" t="s">
        <v>59</v>
      </c>
      <c r="I106" s="12" t="s">
        <v>508</v>
      </c>
      <c r="J106" s="11" t="s">
        <v>3158</v>
      </c>
      <c r="K106" s="12" t="s">
        <v>62</v>
      </c>
      <c r="L106" s="12" t="s">
        <v>510</v>
      </c>
    </row>
    <row r="107" spans="1:12" ht="39.6" x14ac:dyDescent="0.3">
      <c r="A107" s="10" t="s">
        <v>3373</v>
      </c>
      <c r="B107" s="11" t="s">
        <v>19</v>
      </c>
      <c r="C107" s="11" t="s">
        <v>3374</v>
      </c>
      <c r="D107" s="11" t="s">
        <v>3155</v>
      </c>
      <c r="E107" s="11" t="s">
        <v>3375</v>
      </c>
      <c r="F107" s="11" t="s">
        <v>3152</v>
      </c>
      <c r="G107" s="12" t="s">
        <v>59</v>
      </c>
      <c r="H107" s="12" t="s">
        <v>59</v>
      </c>
      <c r="I107" s="12" t="s">
        <v>508</v>
      </c>
      <c r="J107" s="11" t="s">
        <v>3158</v>
      </c>
      <c r="K107" s="12" t="s">
        <v>62</v>
      </c>
      <c r="L107" s="12" t="s">
        <v>510</v>
      </c>
    </row>
    <row r="108" spans="1:12" ht="39.6" x14ac:dyDescent="0.3">
      <c r="A108" s="10" t="s">
        <v>3376</v>
      </c>
      <c r="B108" s="11" t="s">
        <v>19</v>
      </c>
      <c r="C108" s="11" t="s">
        <v>3377</v>
      </c>
      <c r="D108" s="11" t="s">
        <v>3155</v>
      </c>
      <c r="E108" s="11" t="s">
        <v>3378</v>
      </c>
      <c r="F108" s="11" t="s">
        <v>3138</v>
      </c>
      <c r="G108" s="12" t="s">
        <v>59</v>
      </c>
      <c r="H108" s="12" t="s">
        <v>59</v>
      </c>
      <c r="I108" s="12" t="s">
        <v>508</v>
      </c>
      <c r="J108" s="11" t="s">
        <v>3158</v>
      </c>
      <c r="K108" s="12" t="s">
        <v>62</v>
      </c>
      <c r="L108" s="12" t="s">
        <v>510</v>
      </c>
    </row>
    <row r="109" spans="1:12" ht="39.6" x14ac:dyDescent="0.3">
      <c r="A109" s="10" t="s">
        <v>3379</v>
      </c>
      <c r="B109" s="11" t="s">
        <v>19</v>
      </c>
      <c r="C109" s="11" t="s">
        <v>3380</v>
      </c>
      <c r="D109" s="11" t="s">
        <v>3155</v>
      </c>
      <c r="E109" s="11" t="s">
        <v>3381</v>
      </c>
      <c r="F109" s="11" t="s">
        <v>3138</v>
      </c>
      <c r="G109" s="12" t="s">
        <v>59</v>
      </c>
      <c r="H109" s="12" t="s">
        <v>59</v>
      </c>
      <c r="I109" s="12" t="s">
        <v>508</v>
      </c>
      <c r="J109" s="11" t="s">
        <v>3158</v>
      </c>
      <c r="K109" s="12" t="s">
        <v>62</v>
      </c>
      <c r="L109" s="12" t="s">
        <v>510</v>
      </c>
    </row>
    <row r="110" spans="1:12" ht="39.6" x14ac:dyDescent="0.3">
      <c r="A110" s="10" t="s">
        <v>3382</v>
      </c>
      <c r="B110" s="11" t="s">
        <v>19</v>
      </c>
      <c r="C110" s="11" t="s">
        <v>3383</v>
      </c>
      <c r="D110" s="11" t="s">
        <v>3155</v>
      </c>
      <c r="E110" s="11" t="s">
        <v>3384</v>
      </c>
      <c r="F110" s="11" t="s">
        <v>3157</v>
      </c>
      <c r="G110" s="12" t="s">
        <v>59</v>
      </c>
      <c r="H110" s="12" t="s">
        <v>59</v>
      </c>
      <c r="I110" s="12" t="s">
        <v>508</v>
      </c>
      <c r="J110" s="11" t="s">
        <v>3158</v>
      </c>
      <c r="K110" s="12" t="s">
        <v>62</v>
      </c>
      <c r="L110" s="12" t="s">
        <v>510</v>
      </c>
    </row>
    <row r="111" spans="1:12" ht="39.6" x14ac:dyDescent="0.3">
      <c r="A111" s="10" t="s">
        <v>3385</v>
      </c>
      <c r="B111" s="11" t="s">
        <v>19</v>
      </c>
      <c r="C111" s="11" t="s">
        <v>3386</v>
      </c>
      <c r="D111" s="11" t="s">
        <v>3155</v>
      </c>
      <c r="E111" s="11" t="s">
        <v>3387</v>
      </c>
      <c r="F111" s="11" t="s">
        <v>3152</v>
      </c>
      <c r="G111" s="12" t="s">
        <v>59</v>
      </c>
      <c r="H111" s="12" t="s">
        <v>59</v>
      </c>
      <c r="I111" s="12" t="s">
        <v>508</v>
      </c>
      <c r="J111" s="11" t="s">
        <v>3158</v>
      </c>
      <c r="K111" s="12" t="s">
        <v>62</v>
      </c>
      <c r="L111" s="12" t="s">
        <v>510</v>
      </c>
    </row>
    <row r="112" spans="1:12" ht="39.6" x14ac:dyDescent="0.3">
      <c r="A112" s="10" t="s">
        <v>3388</v>
      </c>
      <c r="B112" s="11" t="s">
        <v>19</v>
      </c>
      <c r="C112" s="11" t="s">
        <v>3389</v>
      </c>
      <c r="D112" s="11" t="s">
        <v>3155</v>
      </c>
      <c r="E112" s="11" t="s">
        <v>3390</v>
      </c>
      <c r="F112" s="11" t="s">
        <v>3138</v>
      </c>
      <c r="G112" s="12" t="s">
        <v>59</v>
      </c>
      <c r="H112" s="12" t="s">
        <v>59</v>
      </c>
      <c r="I112" s="12" t="s">
        <v>508</v>
      </c>
      <c r="J112" s="11" t="s">
        <v>3158</v>
      </c>
      <c r="K112" s="12" t="s">
        <v>62</v>
      </c>
      <c r="L112" s="12" t="s">
        <v>510</v>
      </c>
    </row>
    <row r="113" spans="1:12" ht="39.6" x14ac:dyDescent="0.3">
      <c r="A113" s="10" t="s">
        <v>3391</v>
      </c>
      <c r="B113" s="11" t="s">
        <v>19</v>
      </c>
      <c r="C113" s="11" t="s">
        <v>3392</v>
      </c>
      <c r="D113" s="11" t="s">
        <v>3155</v>
      </c>
      <c r="E113" s="11" t="s">
        <v>3393</v>
      </c>
      <c r="F113" s="11" t="s">
        <v>3138</v>
      </c>
      <c r="G113" s="12" t="s">
        <v>59</v>
      </c>
      <c r="H113" s="12" t="s">
        <v>59</v>
      </c>
      <c r="I113" s="12" t="s">
        <v>508</v>
      </c>
      <c r="J113" s="11" t="s">
        <v>3158</v>
      </c>
      <c r="K113" s="12" t="s">
        <v>62</v>
      </c>
      <c r="L113" s="12" t="s">
        <v>510</v>
      </c>
    </row>
    <row r="114" spans="1:12" ht="39.6" x14ac:dyDescent="0.3">
      <c r="A114" s="10" t="s">
        <v>3394</v>
      </c>
      <c r="B114" s="11" t="s">
        <v>19</v>
      </c>
      <c r="C114" s="11" t="s">
        <v>3395</v>
      </c>
      <c r="D114" s="11" t="s">
        <v>3155</v>
      </c>
      <c r="E114" s="11" t="s">
        <v>3396</v>
      </c>
      <c r="F114" s="11" t="s">
        <v>3157</v>
      </c>
      <c r="G114" s="12" t="s">
        <v>59</v>
      </c>
      <c r="H114" s="12" t="s">
        <v>59</v>
      </c>
      <c r="I114" s="12" t="s">
        <v>508</v>
      </c>
      <c r="J114" s="11" t="s">
        <v>3158</v>
      </c>
      <c r="K114" s="12" t="s">
        <v>62</v>
      </c>
      <c r="L114" s="12" t="s">
        <v>510</v>
      </c>
    </row>
    <row r="115" spans="1:12" ht="39.6" x14ac:dyDescent="0.3">
      <c r="A115" s="10" t="s">
        <v>3397</v>
      </c>
      <c r="B115" s="11" t="s">
        <v>19</v>
      </c>
      <c r="C115" s="11" t="s">
        <v>3398</v>
      </c>
      <c r="D115" s="11" t="s">
        <v>3155</v>
      </c>
      <c r="E115" s="11" t="s">
        <v>3399</v>
      </c>
      <c r="F115" s="11" t="s">
        <v>3152</v>
      </c>
      <c r="G115" s="12" t="s">
        <v>59</v>
      </c>
      <c r="H115" s="12" t="s">
        <v>59</v>
      </c>
      <c r="I115" s="12" t="s">
        <v>508</v>
      </c>
      <c r="J115" s="11" t="s">
        <v>3158</v>
      </c>
      <c r="K115" s="12" t="s">
        <v>62</v>
      </c>
      <c r="L115" s="12" t="s">
        <v>510</v>
      </c>
    </row>
    <row r="116" spans="1:12" ht="39.6" x14ac:dyDescent="0.3">
      <c r="A116" s="10" t="s">
        <v>3400</v>
      </c>
      <c r="B116" s="11" t="s">
        <v>19</v>
      </c>
      <c r="C116" s="11" t="s">
        <v>3401</v>
      </c>
      <c r="D116" s="11" t="s">
        <v>3155</v>
      </c>
      <c r="E116" s="11" t="s">
        <v>3402</v>
      </c>
      <c r="F116" s="11" t="s">
        <v>3138</v>
      </c>
      <c r="G116" s="12" t="s">
        <v>59</v>
      </c>
      <c r="H116" s="12" t="s">
        <v>59</v>
      </c>
      <c r="I116" s="12" t="s">
        <v>508</v>
      </c>
      <c r="J116" s="11" t="s">
        <v>3158</v>
      </c>
      <c r="K116" s="12" t="s">
        <v>62</v>
      </c>
      <c r="L116" s="12" t="s">
        <v>510</v>
      </c>
    </row>
    <row r="117" spans="1:12" ht="39.6" x14ac:dyDescent="0.3">
      <c r="A117" s="10" t="s">
        <v>3403</v>
      </c>
      <c r="B117" s="11" t="s">
        <v>19</v>
      </c>
      <c r="C117" s="11" t="s">
        <v>3404</v>
      </c>
      <c r="D117" s="11" t="s">
        <v>3155</v>
      </c>
      <c r="E117" s="11" t="s">
        <v>3405</v>
      </c>
      <c r="F117" s="11" t="s">
        <v>3138</v>
      </c>
      <c r="G117" s="12" t="s">
        <v>59</v>
      </c>
      <c r="H117" s="12" t="s">
        <v>59</v>
      </c>
      <c r="I117" s="12" t="s">
        <v>508</v>
      </c>
      <c r="J117" s="11" t="s">
        <v>3158</v>
      </c>
      <c r="K117" s="12" t="s">
        <v>62</v>
      </c>
      <c r="L117" s="12" t="s">
        <v>510</v>
      </c>
    </row>
    <row r="118" spans="1:12" ht="39.6" x14ac:dyDescent="0.3">
      <c r="A118" s="10" t="s">
        <v>3406</v>
      </c>
      <c r="B118" s="11" t="s">
        <v>19</v>
      </c>
      <c r="C118" s="11" t="s">
        <v>3407</v>
      </c>
      <c r="D118" s="11" t="s">
        <v>3155</v>
      </c>
      <c r="E118" s="11" t="s">
        <v>3408</v>
      </c>
      <c r="F118" s="11" t="s">
        <v>3157</v>
      </c>
      <c r="G118" s="12" t="s">
        <v>59</v>
      </c>
      <c r="H118" s="12" t="s">
        <v>59</v>
      </c>
      <c r="I118" s="12" t="s">
        <v>508</v>
      </c>
      <c r="J118" s="11" t="s">
        <v>3158</v>
      </c>
      <c r="K118" s="12" t="s">
        <v>62</v>
      </c>
      <c r="L118" s="12" t="s">
        <v>510</v>
      </c>
    </row>
    <row r="119" spans="1:12" ht="39.6" x14ac:dyDescent="0.3">
      <c r="A119" s="10" t="s">
        <v>3409</v>
      </c>
      <c r="B119" s="11" t="s">
        <v>19</v>
      </c>
      <c r="C119" s="11" t="s">
        <v>3410</v>
      </c>
      <c r="D119" s="11" t="s">
        <v>3155</v>
      </c>
      <c r="E119" s="11" t="s">
        <v>3411</v>
      </c>
      <c r="F119" s="11" t="s">
        <v>3138</v>
      </c>
      <c r="G119" s="12" t="s">
        <v>59</v>
      </c>
      <c r="H119" s="12" t="s">
        <v>59</v>
      </c>
      <c r="I119" s="12" t="s">
        <v>508</v>
      </c>
      <c r="J119" s="11" t="s">
        <v>3158</v>
      </c>
      <c r="K119" s="12" t="s">
        <v>62</v>
      </c>
      <c r="L119" s="12" t="s">
        <v>510</v>
      </c>
    </row>
    <row r="120" spans="1:12" ht="39.6" x14ac:dyDescent="0.3">
      <c r="A120" s="10" t="s">
        <v>3412</v>
      </c>
      <c r="B120" s="11" t="s">
        <v>19</v>
      </c>
      <c r="C120" s="11" t="s">
        <v>3413</v>
      </c>
      <c r="D120" s="11" t="s">
        <v>3155</v>
      </c>
      <c r="E120" s="11" t="s">
        <v>3414</v>
      </c>
      <c r="F120" s="11" t="s">
        <v>3138</v>
      </c>
      <c r="G120" s="12" t="s">
        <v>59</v>
      </c>
      <c r="H120" s="12" t="s">
        <v>59</v>
      </c>
      <c r="I120" s="12" t="s">
        <v>508</v>
      </c>
      <c r="J120" s="11" t="s">
        <v>3158</v>
      </c>
      <c r="K120" s="12" t="s">
        <v>62</v>
      </c>
      <c r="L120" s="12" t="s">
        <v>510</v>
      </c>
    </row>
    <row r="121" spans="1:12" ht="26.4" x14ac:dyDescent="0.3">
      <c r="A121" s="10" t="s">
        <v>3415</v>
      </c>
      <c r="B121" s="11" t="s">
        <v>20</v>
      </c>
      <c r="C121" s="11" t="s">
        <v>3416</v>
      </c>
      <c r="D121" s="11" t="s">
        <v>3417</v>
      </c>
      <c r="E121" s="11" t="s">
        <v>1951</v>
      </c>
      <c r="F121" s="11" t="s">
        <v>3418</v>
      </c>
      <c r="G121" s="12" t="s">
        <v>59</v>
      </c>
      <c r="H121" s="12" t="s">
        <v>59</v>
      </c>
      <c r="I121" s="12" t="s">
        <v>60</v>
      </c>
      <c r="J121" s="11" t="s">
        <v>3419</v>
      </c>
      <c r="K121" s="12" t="s">
        <v>62</v>
      </c>
      <c r="L121" s="12" t="s">
        <v>63</v>
      </c>
    </row>
    <row r="122" spans="1:12" ht="26.4" x14ac:dyDescent="0.3">
      <c r="A122" s="10" t="s">
        <v>3420</v>
      </c>
      <c r="B122" s="11" t="s">
        <v>20</v>
      </c>
      <c r="C122" s="11" t="s">
        <v>3421</v>
      </c>
      <c r="D122" s="11" t="s">
        <v>3422</v>
      </c>
      <c r="E122" s="11" t="s">
        <v>1951</v>
      </c>
      <c r="F122" s="11" t="s">
        <v>3423</v>
      </c>
      <c r="G122" s="12" t="s">
        <v>59</v>
      </c>
      <c r="H122" s="12" t="s">
        <v>59</v>
      </c>
      <c r="I122" s="12" t="s">
        <v>60</v>
      </c>
      <c r="J122" s="11" t="s">
        <v>3424</v>
      </c>
      <c r="K122" s="12" t="s">
        <v>62</v>
      </c>
      <c r="L122" s="12" t="s">
        <v>63</v>
      </c>
    </row>
    <row r="123" spans="1:12" ht="26.4" x14ac:dyDescent="0.3">
      <c r="A123" s="10" t="s">
        <v>3425</v>
      </c>
      <c r="B123" s="11" t="s">
        <v>20</v>
      </c>
      <c r="C123" s="11" t="s">
        <v>3426</v>
      </c>
      <c r="D123" s="11" t="s">
        <v>3427</v>
      </c>
      <c r="E123" s="11" t="s">
        <v>3428</v>
      </c>
      <c r="F123" s="11" t="s">
        <v>3429</v>
      </c>
      <c r="G123" s="12" t="s">
        <v>59</v>
      </c>
      <c r="H123" s="12" t="s">
        <v>59</v>
      </c>
      <c r="I123" s="12" t="s">
        <v>60</v>
      </c>
      <c r="J123" s="11" t="s">
        <v>3430</v>
      </c>
      <c r="K123" s="12" t="s">
        <v>62</v>
      </c>
      <c r="L123" s="12" t="s">
        <v>63</v>
      </c>
    </row>
    <row r="124" spans="1:12" ht="26.4" x14ac:dyDescent="0.3">
      <c r="A124" s="10" t="s">
        <v>3431</v>
      </c>
      <c r="B124" s="11" t="s">
        <v>20</v>
      </c>
      <c r="C124" s="11" t="s">
        <v>3432</v>
      </c>
      <c r="D124" s="11" t="s">
        <v>3433</v>
      </c>
      <c r="E124" s="11" t="s">
        <v>3434</v>
      </c>
      <c r="F124" s="11" t="s">
        <v>3435</v>
      </c>
      <c r="G124" s="12" t="s">
        <v>59</v>
      </c>
      <c r="H124" s="12" t="s">
        <v>59</v>
      </c>
      <c r="I124" s="12" t="s">
        <v>60</v>
      </c>
      <c r="J124" s="11" t="s">
        <v>3436</v>
      </c>
      <c r="K124" s="12" t="s">
        <v>62</v>
      </c>
      <c r="L124" s="12" t="s">
        <v>63</v>
      </c>
    </row>
    <row r="125" spans="1:12" ht="26.4" x14ac:dyDescent="0.3">
      <c r="A125" s="10" t="s">
        <v>3437</v>
      </c>
      <c r="B125" s="11" t="s">
        <v>20</v>
      </c>
      <c r="C125" s="11" t="s">
        <v>3438</v>
      </c>
      <c r="D125" s="11" t="s">
        <v>3439</v>
      </c>
      <c r="E125" s="11" t="s">
        <v>1951</v>
      </c>
      <c r="F125" s="11" t="s">
        <v>3440</v>
      </c>
      <c r="G125" s="12" t="s">
        <v>59</v>
      </c>
      <c r="H125" s="12" t="s">
        <v>59</v>
      </c>
      <c r="I125" s="12" t="s">
        <v>60</v>
      </c>
      <c r="J125" s="11" t="s">
        <v>3441</v>
      </c>
      <c r="K125" s="12" t="s">
        <v>62</v>
      </c>
      <c r="L125" s="12" t="s">
        <v>63</v>
      </c>
    </row>
    <row r="126" spans="1:12" ht="39.6" x14ac:dyDescent="0.3">
      <c r="A126" s="10" t="s">
        <v>3442</v>
      </c>
      <c r="B126" s="11" t="s">
        <v>20</v>
      </c>
      <c r="C126" s="11" t="s">
        <v>3443</v>
      </c>
      <c r="D126" s="11" t="s">
        <v>3444</v>
      </c>
      <c r="E126" s="11" t="s">
        <v>3445</v>
      </c>
      <c r="F126" s="11" t="s">
        <v>3446</v>
      </c>
      <c r="G126" s="12" t="s">
        <v>59</v>
      </c>
      <c r="H126" s="12" t="s">
        <v>59</v>
      </c>
      <c r="I126" s="12" t="s">
        <v>60</v>
      </c>
      <c r="J126" s="11" t="s">
        <v>3447</v>
      </c>
      <c r="K126" s="12" t="s">
        <v>62</v>
      </c>
      <c r="L126" s="12" t="s">
        <v>63</v>
      </c>
    </row>
    <row r="127" spans="1:12" ht="26.4" x14ac:dyDescent="0.3">
      <c r="A127" s="10" t="s">
        <v>3448</v>
      </c>
      <c r="B127" s="11" t="s">
        <v>20</v>
      </c>
      <c r="C127" s="11" t="s">
        <v>3449</v>
      </c>
      <c r="D127" s="11" t="s">
        <v>3450</v>
      </c>
      <c r="E127" s="11" t="s">
        <v>3451</v>
      </c>
      <c r="F127" s="11" t="s">
        <v>3452</v>
      </c>
      <c r="G127" s="12" t="s">
        <v>1513</v>
      </c>
      <c r="H127" s="12" t="s">
        <v>59</v>
      </c>
      <c r="I127" s="12" t="s">
        <v>60</v>
      </c>
      <c r="J127" s="11" t="s">
        <v>3453</v>
      </c>
      <c r="K127" s="12" t="s">
        <v>62</v>
      </c>
      <c r="L127" s="12" t="s">
        <v>63</v>
      </c>
    </row>
    <row r="128" spans="1:12" ht="26.4" x14ac:dyDescent="0.3">
      <c r="A128" s="10" t="s">
        <v>3454</v>
      </c>
      <c r="B128" s="11" t="s">
        <v>20</v>
      </c>
      <c r="C128" s="11" t="s">
        <v>3455</v>
      </c>
      <c r="D128" s="11" t="s">
        <v>3456</v>
      </c>
      <c r="E128" s="11" t="s">
        <v>3457</v>
      </c>
      <c r="F128" s="11" t="s">
        <v>3458</v>
      </c>
      <c r="G128" s="12" t="s">
        <v>59</v>
      </c>
      <c r="H128" s="12" t="s">
        <v>59</v>
      </c>
      <c r="I128" s="12" t="s">
        <v>60</v>
      </c>
      <c r="J128" s="11" t="s">
        <v>3459</v>
      </c>
      <c r="K128" s="12" t="s">
        <v>62</v>
      </c>
      <c r="L128" s="12" t="s">
        <v>63</v>
      </c>
    </row>
    <row r="129" spans="1:12" ht="26.4" x14ac:dyDescent="0.3">
      <c r="A129" s="10" t="s">
        <v>3460</v>
      </c>
      <c r="B129" s="11" t="s">
        <v>20</v>
      </c>
      <c r="C129" s="11" t="s">
        <v>3461</v>
      </c>
      <c r="D129" s="11" t="s">
        <v>3462</v>
      </c>
      <c r="E129" s="11" t="s">
        <v>3463</v>
      </c>
      <c r="F129" s="11" t="s">
        <v>3464</v>
      </c>
      <c r="G129" s="12" t="s">
        <v>59</v>
      </c>
      <c r="H129" s="12" t="s">
        <v>59</v>
      </c>
      <c r="I129" s="12" t="s">
        <v>60</v>
      </c>
      <c r="J129" s="11" t="s">
        <v>3465</v>
      </c>
      <c r="K129" s="12" t="s">
        <v>62</v>
      </c>
      <c r="L129" s="12" t="s">
        <v>63</v>
      </c>
    </row>
    <row r="130" spans="1:12" ht="26.4" x14ac:dyDescent="0.3">
      <c r="A130" s="10" t="s">
        <v>3466</v>
      </c>
      <c r="B130" s="11" t="s">
        <v>20</v>
      </c>
      <c r="C130" s="11" t="s">
        <v>3467</v>
      </c>
      <c r="D130" s="11" t="s">
        <v>3468</v>
      </c>
      <c r="E130" s="11" t="s">
        <v>3096</v>
      </c>
      <c r="F130" s="11" t="s">
        <v>3469</v>
      </c>
      <c r="G130" s="12" t="s">
        <v>59</v>
      </c>
      <c r="H130" s="12" t="s">
        <v>59</v>
      </c>
      <c r="I130" s="12" t="s">
        <v>60</v>
      </c>
      <c r="J130" s="11" t="s">
        <v>3470</v>
      </c>
      <c r="K130" s="12" t="s">
        <v>62</v>
      </c>
      <c r="L130" s="12" t="s">
        <v>63</v>
      </c>
    </row>
    <row r="131" spans="1:12" ht="39.6" x14ac:dyDescent="0.3">
      <c r="A131" s="10" t="s">
        <v>3471</v>
      </c>
      <c r="B131" s="11" t="s">
        <v>20</v>
      </c>
      <c r="C131" s="11" t="s">
        <v>3472</v>
      </c>
      <c r="D131" s="11" t="s">
        <v>3473</v>
      </c>
      <c r="E131" s="11" t="s">
        <v>3474</v>
      </c>
      <c r="F131" s="11" t="s">
        <v>3475</v>
      </c>
      <c r="G131" s="12" t="s">
        <v>1513</v>
      </c>
      <c r="H131" s="12" t="s">
        <v>59</v>
      </c>
      <c r="I131" s="12" t="s">
        <v>60</v>
      </c>
      <c r="J131" s="11" t="s">
        <v>3476</v>
      </c>
      <c r="K131" s="12" t="s">
        <v>62</v>
      </c>
      <c r="L131" s="12" t="s">
        <v>63</v>
      </c>
    </row>
    <row r="132" spans="1:12" ht="26.4" x14ac:dyDescent="0.3">
      <c r="A132" s="10" t="s">
        <v>3477</v>
      </c>
      <c r="B132" s="11" t="s">
        <v>20</v>
      </c>
      <c r="C132" s="11" t="s">
        <v>3478</v>
      </c>
      <c r="D132" s="11" t="s">
        <v>3479</v>
      </c>
      <c r="E132" s="11" t="s">
        <v>3480</v>
      </c>
      <c r="F132" s="11" t="s">
        <v>3481</v>
      </c>
      <c r="G132" s="12" t="s">
        <v>59</v>
      </c>
      <c r="H132" s="12" t="s">
        <v>59</v>
      </c>
      <c r="I132" s="12" t="s">
        <v>60</v>
      </c>
      <c r="J132" s="11" t="s">
        <v>3482</v>
      </c>
      <c r="K132" s="12" t="s">
        <v>62</v>
      </c>
      <c r="L132" s="12" t="s">
        <v>63</v>
      </c>
    </row>
    <row r="133" spans="1:12" ht="26.4" x14ac:dyDescent="0.3">
      <c r="A133" s="10" t="s">
        <v>3483</v>
      </c>
      <c r="B133" s="11" t="s">
        <v>20</v>
      </c>
      <c r="C133" s="11" t="s">
        <v>3484</v>
      </c>
      <c r="D133" s="11" t="s">
        <v>3485</v>
      </c>
      <c r="E133" s="11" t="s">
        <v>3096</v>
      </c>
      <c r="F133" s="11" t="s">
        <v>3097</v>
      </c>
      <c r="G133" s="12" t="s">
        <v>59</v>
      </c>
      <c r="H133" s="12" t="s">
        <v>59</v>
      </c>
      <c r="I133" s="12" t="s">
        <v>60</v>
      </c>
      <c r="J133" s="11" t="s">
        <v>3486</v>
      </c>
      <c r="K133" s="12" t="s">
        <v>62</v>
      </c>
      <c r="L133" s="12" t="s">
        <v>63</v>
      </c>
    </row>
    <row r="134" spans="1:12" ht="26.4" x14ac:dyDescent="0.3">
      <c r="A134" s="10" t="s">
        <v>3487</v>
      </c>
      <c r="B134" s="11" t="s">
        <v>20</v>
      </c>
      <c r="C134" s="11" t="s">
        <v>3488</v>
      </c>
      <c r="D134" s="11" t="s">
        <v>3489</v>
      </c>
      <c r="E134" s="11" t="s">
        <v>3490</v>
      </c>
      <c r="F134" s="11" t="s">
        <v>3491</v>
      </c>
      <c r="G134" s="12" t="s">
        <v>59</v>
      </c>
      <c r="H134" s="12" t="s">
        <v>59</v>
      </c>
      <c r="I134" s="12" t="s">
        <v>60</v>
      </c>
      <c r="J134" s="11" t="s">
        <v>3492</v>
      </c>
      <c r="K134" s="12" t="s">
        <v>62</v>
      </c>
      <c r="L134" s="12" t="s">
        <v>63</v>
      </c>
    </row>
    <row r="135" spans="1:12" ht="26.4" x14ac:dyDescent="0.3">
      <c r="A135" s="10" t="s">
        <v>3493</v>
      </c>
      <c r="B135" s="11" t="s">
        <v>20</v>
      </c>
      <c r="C135" s="11" t="s">
        <v>3494</v>
      </c>
      <c r="D135" s="11" t="s">
        <v>3495</v>
      </c>
      <c r="E135" s="11" t="s">
        <v>3096</v>
      </c>
      <c r="F135" s="11" t="s">
        <v>3496</v>
      </c>
      <c r="G135" s="12" t="s">
        <v>59</v>
      </c>
      <c r="H135" s="12" t="s">
        <v>59</v>
      </c>
      <c r="I135" s="12" t="s">
        <v>60</v>
      </c>
      <c r="J135" s="11" t="s">
        <v>3497</v>
      </c>
      <c r="K135" s="12" t="s">
        <v>62</v>
      </c>
      <c r="L135" s="12" t="s">
        <v>63</v>
      </c>
    </row>
    <row r="136" spans="1:12" ht="26.4" x14ac:dyDescent="0.3">
      <c r="A136" s="10" t="s">
        <v>3498</v>
      </c>
      <c r="B136" s="11" t="s">
        <v>20</v>
      </c>
      <c r="C136" s="11" t="s">
        <v>3499</v>
      </c>
      <c r="D136" s="11" t="s">
        <v>3500</v>
      </c>
      <c r="E136" s="11" t="s">
        <v>3501</v>
      </c>
      <c r="F136" s="11" t="s">
        <v>3502</v>
      </c>
      <c r="G136" s="12" t="s">
        <v>59</v>
      </c>
      <c r="H136" s="12" t="s">
        <v>59</v>
      </c>
      <c r="I136" s="12" t="s">
        <v>60</v>
      </c>
      <c r="J136" s="11" t="s">
        <v>3503</v>
      </c>
      <c r="K136" s="12" t="s">
        <v>62</v>
      </c>
      <c r="L136" s="12" t="s">
        <v>63</v>
      </c>
    </row>
    <row r="137" spans="1:12" ht="26.4" x14ac:dyDescent="0.3">
      <c r="A137" s="10" t="s">
        <v>3504</v>
      </c>
      <c r="B137" s="11" t="s">
        <v>20</v>
      </c>
      <c r="C137" s="11" t="s">
        <v>3505</v>
      </c>
      <c r="D137" s="11" t="s">
        <v>3506</v>
      </c>
      <c r="E137" s="11" t="s">
        <v>3507</v>
      </c>
      <c r="F137" s="11" t="s">
        <v>3508</v>
      </c>
      <c r="G137" s="12" t="s">
        <v>59</v>
      </c>
      <c r="H137" s="12" t="s">
        <v>59</v>
      </c>
      <c r="I137" s="12" t="s">
        <v>60</v>
      </c>
      <c r="J137" s="11" t="s">
        <v>3509</v>
      </c>
      <c r="K137" s="12" t="s">
        <v>62</v>
      </c>
      <c r="L137" s="12" t="s">
        <v>63</v>
      </c>
    </row>
    <row r="138" spans="1:12" ht="26.4" x14ac:dyDescent="0.3">
      <c r="A138" s="10" t="s">
        <v>3510</v>
      </c>
      <c r="B138" s="11" t="s">
        <v>20</v>
      </c>
      <c r="C138" s="11" t="s">
        <v>3511</v>
      </c>
      <c r="D138" s="11" t="s">
        <v>3512</v>
      </c>
      <c r="E138" s="11" t="s">
        <v>3096</v>
      </c>
      <c r="F138" s="11" t="s">
        <v>3513</v>
      </c>
      <c r="G138" s="12" t="s">
        <v>59</v>
      </c>
      <c r="H138" s="12" t="s">
        <v>59</v>
      </c>
      <c r="I138" s="12" t="s">
        <v>60</v>
      </c>
      <c r="J138" s="11" t="s">
        <v>3514</v>
      </c>
      <c r="K138" s="12" t="s">
        <v>62</v>
      </c>
      <c r="L138" s="12" t="s">
        <v>63</v>
      </c>
    </row>
    <row r="139" spans="1:12" ht="26.4" x14ac:dyDescent="0.3">
      <c r="A139" s="10" t="s">
        <v>3515</v>
      </c>
      <c r="B139" s="11" t="s">
        <v>20</v>
      </c>
      <c r="C139" s="11" t="s">
        <v>3516</v>
      </c>
      <c r="D139" s="11" t="s">
        <v>3517</v>
      </c>
      <c r="E139" s="11" t="s">
        <v>3518</v>
      </c>
      <c r="F139" s="11" t="s">
        <v>3519</v>
      </c>
      <c r="G139" s="12" t="s">
        <v>59</v>
      </c>
      <c r="H139" s="12" t="s">
        <v>59</v>
      </c>
      <c r="I139" s="12" t="s">
        <v>60</v>
      </c>
      <c r="J139" s="11" t="s">
        <v>3520</v>
      </c>
      <c r="K139" s="12" t="s">
        <v>62</v>
      </c>
      <c r="L139" s="12" t="s">
        <v>63</v>
      </c>
    </row>
    <row r="140" spans="1:12" ht="39.6" x14ac:dyDescent="0.3">
      <c r="A140" s="10" t="s">
        <v>3521</v>
      </c>
      <c r="B140" s="11" t="s">
        <v>20</v>
      </c>
      <c r="C140" s="11" t="s">
        <v>3522</v>
      </c>
      <c r="D140" s="11" t="s">
        <v>3523</v>
      </c>
      <c r="E140" s="11" t="s">
        <v>3524</v>
      </c>
      <c r="F140" s="11" t="s">
        <v>3525</v>
      </c>
      <c r="G140" s="12" t="s">
        <v>1513</v>
      </c>
      <c r="H140" s="12" t="s">
        <v>59</v>
      </c>
      <c r="I140" s="12" t="s">
        <v>60</v>
      </c>
      <c r="J140" s="11" t="s">
        <v>3526</v>
      </c>
      <c r="K140" s="12" t="s">
        <v>62</v>
      </c>
      <c r="L140" s="12" t="s">
        <v>63</v>
      </c>
    </row>
    <row r="141" spans="1:12" ht="26.4" x14ac:dyDescent="0.3">
      <c r="A141" s="10" t="s">
        <v>3527</v>
      </c>
      <c r="B141" s="11" t="s">
        <v>20</v>
      </c>
      <c r="C141" s="11" t="s">
        <v>3528</v>
      </c>
      <c r="D141" s="11" t="s">
        <v>3529</v>
      </c>
      <c r="E141" s="11" t="s">
        <v>3530</v>
      </c>
      <c r="F141" s="11" t="s">
        <v>3531</v>
      </c>
      <c r="G141" s="12" t="s">
        <v>59</v>
      </c>
      <c r="H141" s="12" t="s">
        <v>59</v>
      </c>
      <c r="I141" s="12" t="s">
        <v>508</v>
      </c>
      <c r="J141" s="11" t="s">
        <v>3532</v>
      </c>
      <c r="K141" s="12" t="s">
        <v>62</v>
      </c>
      <c r="L141" s="12" t="s">
        <v>510</v>
      </c>
    </row>
    <row r="142" spans="1:12" ht="26.4" x14ac:dyDescent="0.3">
      <c r="A142" s="10" t="s">
        <v>3533</v>
      </c>
      <c r="B142" s="11" t="s">
        <v>20</v>
      </c>
      <c r="C142" s="11" t="s">
        <v>3534</v>
      </c>
      <c r="D142" s="11" t="s">
        <v>3529</v>
      </c>
      <c r="E142" s="11" t="s">
        <v>3535</v>
      </c>
      <c r="F142" s="11" t="s">
        <v>3536</v>
      </c>
      <c r="G142" s="12" t="s">
        <v>59</v>
      </c>
      <c r="H142" s="12" t="s">
        <v>59</v>
      </c>
      <c r="I142" s="12" t="s">
        <v>508</v>
      </c>
      <c r="J142" s="11" t="s">
        <v>3532</v>
      </c>
      <c r="K142" s="12" t="s">
        <v>62</v>
      </c>
      <c r="L142" s="12" t="s">
        <v>510</v>
      </c>
    </row>
    <row r="143" spans="1:12" ht="26.4" x14ac:dyDescent="0.3">
      <c r="A143" s="10" t="s">
        <v>3537</v>
      </c>
      <c r="B143" s="11" t="s">
        <v>20</v>
      </c>
      <c r="C143" s="11" t="s">
        <v>3538</v>
      </c>
      <c r="D143" s="11" t="s">
        <v>3539</v>
      </c>
      <c r="E143" s="11" t="s">
        <v>3540</v>
      </c>
      <c r="F143" s="11" t="s">
        <v>3541</v>
      </c>
      <c r="G143" s="12" t="s">
        <v>59</v>
      </c>
      <c r="H143" s="12" t="s">
        <v>59</v>
      </c>
      <c r="I143" s="12" t="s">
        <v>508</v>
      </c>
      <c r="J143" s="11" t="s">
        <v>3542</v>
      </c>
      <c r="K143" s="12" t="s">
        <v>62</v>
      </c>
      <c r="L143" s="12" t="s">
        <v>510</v>
      </c>
    </row>
    <row r="144" spans="1:12" ht="26.4" x14ac:dyDescent="0.3">
      <c r="A144" s="10" t="s">
        <v>3543</v>
      </c>
      <c r="B144" s="11" t="s">
        <v>20</v>
      </c>
      <c r="C144" s="11" t="s">
        <v>3544</v>
      </c>
      <c r="D144" s="11" t="s">
        <v>3539</v>
      </c>
      <c r="E144" s="11" t="s">
        <v>3545</v>
      </c>
      <c r="F144" s="11" t="s">
        <v>3546</v>
      </c>
      <c r="G144" s="12" t="s">
        <v>59</v>
      </c>
      <c r="H144" s="12" t="s">
        <v>59</v>
      </c>
      <c r="I144" s="12" t="s">
        <v>508</v>
      </c>
      <c r="J144" s="11" t="s">
        <v>3542</v>
      </c>
      <c r="K144" s="12" t="s">
        <v>62</v>
      </c>
      <c r="L144" s="12" t="s">
        <v>510</v>
      </c>
    </row>
    <row r="145" spans="1:12" ht="26.4" x14ac:dyDescent="0.3">
      <c r="A145" s="10" t="s">
        <v>3547</v>
      </c>
      <c r="B145" s="11" t="s">
        <v>20</v>
      </c>
      <c r="C145" s="11" t="s">
        <v>3548</v>
      </c>
      <c r="D145" s="11" t="s">
        <v>3539</v>
      </c>
      <c r="E145" s="11" t="s">
        <v>3549</v>
      </c>
      <c r="F145" s="11" t="s">
        <v>3550</v>
      </c>
      <c r="G145" s="12" t="s">
        <v>59</v>
      </c>
      <c r="H145" s="12" t="s">
        <v>59</v>
      </c>
      <c r="I145" s="12" t="s">
        <v>508</v>
      </c>
      <c r="J145" s="11" t="s">
        <v>3542</v>
      </c>
      <c r="K145" s="12" t="s">
        <v>62</v>
      </c>
      <c r="L145" s="12" t="s">
        <v>510</v>
      </c>
    </row>
    <row r="146" spans="1:12" ht="26.4" x14ac:dyDescent="0.3">
      <c r="A146" s="10" t="s">
        <v>3551</v>
      </c>
      <c r="B146" s="11" t="s">
        <v>20</v>
      </c>
      <c r="C146" s="11" t="s">
        <v>3552</v>
      </c>
      <c r="D146" s="11" t="s">
        <v>3553</v>
      </c>
      <c r="E146" s="11" t="s">
        <v>981</v>
      </c>
      <c r="F146" s="11" t="s">
        <v>3554</v>
      </c>
      <c r="G146" s="12" t="s">
        <v>59</v>
      </c>
      <c r="H146" s="12" t="s">
        <v>59</v>
      </c>
      <c r="I146" s="12" t="s">
        <v>508</v>
      </c>
      <c r="J146" s="11" t="s">
        <v>3555</v>
      </c>
      <c r="K146" s="12" t="s">
        <v>62</v>
      </c>
      <c r="L146" s="12" t="s">
        <v>510</v>
      </c>
    </row>
    <row r="147" spans="1:12" ht="26.4" x14ac:dyDescent="0.3">
      <c r="A147" s="10" t="s">
        <v>3556</v>
      </c>
      <c r="B147" s="11" t="s">
        <v>20</v>
      </c>
      <c r="C147" s="11" t="s">
        <v>3557</v>
      </c>
      <c r="D147" s="11" t="s">
        <v>3553</v>
      </c>
      <c r="E147" s="11" t="s">
        <v>238</v>
      </c>
      <c r="F147" s="11" t="s">
        <v>3558</v>
      </c>
      <c r="G147" s="12" t="s">
        <v>59</v>
      </c>
      <c r="H147" s="12" t="s">
        <v>59</v>
      </c>
      <c r="I147" s="12" t="s">
        <v>508</v>
      </c>
      <c r="J147" s="11" t="s">
        <v>3555</v>
      </c>
      <c r="K147" s="12" t="s">
        <v>62</v>
      </c>
      <c r="L147" s="12" t="s">
        <v>510</v>
      </c>
    </row>
    <row r="148" spans="1:12" ht="26.4" x14ac:dyDescent="0.3">
      <c r="A148" s="10" t="s">
        <v>3559</v>
      </c>
      <c r="B148" s="11" t="s">
        <v>20</v>
      </c>
      <c r="C148" s="11" t="s">
        <v>3560</v>
      </c>
      <c r="D148" s="11" t="s">
        <v>3561</v>
      </c>
      <c r="E148" s="11" t="s">
        <v>3562</v>
      </c>
      <c r="F148" s="11" t="s">
        <v>3563</v>
      </c>
      <c r="G148" s="12" t="s">
        <v>59</v>
      </c>
      <c r="H148" s="12" t="s">
        <v>59</v>
      </c>
      <c r="I148" s="12" t="s">
        <v>508</v>
      </c>
      <c r="J148" s="11" t="s">
        <v>3564</v>
      </c>
      <c r="K148" s="12" t="s">
        <v>62</v>
      </c>
      <c r="L148" s="12" t="s">
        <v>510</v>
      </c>
    </row>
    <row r="149" spans="1:12" ht="26.4" x14ac:dyDescent="0.3">
      <c r="A149" s="10" t="s">
        <v>3565</v>
      </c>
      <c r="B149" s="11" t="s">
        <v>20</v>
      </c>
      <c r="C149" s="11" t="s">
        <v>3560</v>
      </c>
      <c r="D149" s="11" t="s">
        <v>3561</v>
      </c>
      <c r="E149" s="11" t="s">
        <v>3566</v>
      </c>
      <c r="F149" s="11" t="s">
        <v>3567</v>
      </c>
      <c r="G149" s="12" t="s">
        <v>59</v>
      </c>
      <c r="H149" s="12" t="s">
        <v>59</v>
      </c>
      <c r="I149" s="12" t="s">
        <v>508</v>
      </c>
      <c r="J149" s="11" t="s">
        <v>3564</v>
      </c>
      <c r="K149" s="12" t="s">
        <v>62</v>
      </c>
      <c r="L149" s="12" t="s">
        <v>510</v>
      </c>
    </row>
    <row r="150" spans="1:12" ht="26.4" x14ac:dyDescent="0.3">
      <c r="A150" s="10" t="s">
        <v>3568</v>
      </c>
      <c r="B150" s="11" t="s">
        <v>20</v>
      </c>
      <c r="C150" s="11" t="s">
        <v>3560</v>
      </c>
      <c r="D150" s="11" t="s">
        <v>3561</v>
      </c>
      <c r="E150" s="11" t="s">
        <v>3569</v>
      </c>
      <c r="F150" s="11" t="s">
        <v>3570</v>
      </c>
      <c r="G150" s="12" t="s">
        <v>59</v>
      </c>
      <c r="H150" s="12" t="s">
        <v>59</v>
      </c>
      <c r="I150" s="12" t="s">
        <v>508</v>
      </c>
      <c r="J150" s="11" t="s">
        <v>3564</v>
      </c>
      <c r="K150" s="12" t="s">
        <v>62</v>
      </c>
      <c r="L150" s="12" t="s">
        <v>510</v>
      </c>
    </row>
    <row r="151" spans="1:12" ht="26.4" x14ac:dyDescent="0.3">
      <c r="A151" s="10" t="s">
        <v>3571</v>
      </c>
      <c r="B151" s="11" t="s">
        <v>20</v>
      </c>
      <c r="C151" s="11" t="s">
        <v>3560</v>
      </c>
      <c r="D151" s="11" t="s">
        <v>3561</v>
      </c>
      <c r="E151" s="11" t="s">
        <v>3572</v>
      </c>
      <c r="F151" s="11" t="s">
        <v>3573</v>
      </c>
      <c r="G151" s="12" t="s">
        <v>59</v>
      </c>
      <c r="H151" s="12" t="s">
        <v>59</v>
      </c>
      <c r="I151" s="12" t="s">
        <v>508</v>
      </c>
      <c r="J151" s="11" t="s">
        <v>3564</v>
      </c>
      <c r="K151" s="12" t="s">
        <v>62</v>
      </c>
      <c r="L151" s="12" t="s">
        <v>510</v>
      </c>
    </row>
    <row r="152" spans="1:12" ht="26.4" x14ac:dyDescent="0.3">
      <c r="A152" s="10" t="s">
        <v>3574</v>
      </c>
      <c r="B152" s="11" t="s">
        <v>20</v>
      </c>
      <c r="C152" s="11" t="s">
        <v>3560</v>
      </c>
      <c r="D152" s="11" t="s">
        <v>3561</v>
      </c>
      <c r="E152" s="11" t="s">
        <v>3575</v>
      </c>
      <c r="F152" s="11" t="s">
        <v>3502</v>
      </c>
      <c r="G152" s="12" t="s">
        <v>59</v>
      </c>
      <c r="H152" s="12" t="s">
        <v>59</v>
      </c>
      <c r="I152" s="12" t="s">
        <v>508</v>
      </c>
      <c r="J152" s="11" t="s">
        <v>3564</v>
      </c>
      <c r="K152" s="12" t="s">
        <v>62</v>
      </c>
      <c r="L152" s="12" t="s">
        <v>510</v>
      </c>
    </row>
    <row r="153" spans="1:12" ht="26.4" x14ac:dyDescent="0.3">
      <c r="A153" s="10" t="s">
        <v>3576</v>
      </c>
      <c r="B153" s="11" t="s">
        <v>20</v>
      </c>
      <c r="C153" s="11" t="s">
        <v>3560</v>
      </c>
      <c r="D153" s="11" t="s">
        <v>3561</v>
      </c>
      <c r="E153" s="11" t="s">
        <v>3577</v>
      </c>
      <c r="F153" s="11" t="s">
        <v>3578</v>
      </c>
      <c r="G153" s="12" t="s">
        <v>59</v>
      </c>
      <c r="H153" s="12" t="s">
        <v>59</v>
      </c>
      <c r="I153" s="12" t="s">
        <v>508</v>
      </c>
      <c r="J153" s="11" t="s">
        <v>3564</v>
      </c>
      <c r="K153" s="12" t="s">
        <v>62</v>
      </c>
      <c r="L153" s="12" t="s">
        <v>510</v>
      </c>
    </row>
    <row r="154" spans="1:12" ht="26.4" x14ac:dyDescent="0.3">
      <c r="A154" s="10" t="s">
        <v>3579</v>
      </c>
      <c r="B154" s="11" t="s">
        <v>20</v>
      </c>
      <c r="C154" s="11" t="s">
        <v>3560</v>
      </c>
      <c r="D154" s="11" t="s">
        <v>3561</v>
      </c>
      <c r="E154" s="11" t="s">
        <v>3580</v>
      </c>
      <c r="F154" s="11" t="s">
        <v>3581</v>
      </c>
      <c r="G154" s="12" t="s">
        <v>59</v>
      </c>
      <c r="H154" s="12" t="s">
        <v>59</v>
      </c>
      <c r="I154" s="12" t="s">
        <v>508</v>
      </c>
      <c r="J154" s="11" t="s">
        <v>3564</v>
      </c>
      <c r="K154" s="12" t="s">
        <v>62</v>
      </c>
      <c r="L154" s="12" t="s">
        <v>510</v>
      </c>
    </row>
    <row r="155" spans="1:12" ht="26.4" x14ac:dyDescent="0.3">
      <c r="A155" s="10" t="s">
        <v>3582</v>
      </c>
      <c r="B155" s="11" t="s">
        <v>20</v>
      </c>
      <c r="C155" s="11" t="s">
        <v>3583</v>
      </c>
      <c r="D155" s="11" t="s">
        <v>3584</v>
      </c>
      <c r="E155" s="11" t="s">
        <v>3585</v>
      </c>
      <c r="F155" s="11" t="s">
        <v>3586</v>
      </c>
      <c r="G155" s="12" t="s">
        <v>59</v>
      </c>
      <c r="H155" s="12" t="s">
        <v>59</v>
      </c>
      <c r="I155" s="12" t="s">
        <v>508</v>
      </c>
      <c r="J155" s="11" t="s">
        <v>3587</v>
      </c>
      <c r="K155" s="12" t="s">
        <v>62</v>
      </c>
      <c r="L155" s="12" t="s">
        <v>510</v>
      </c>
    </row>
    <row r="156" spans="1:12" ht="26.4" x14ac:dyDescent="0.3">
      <c r="A156" s="10" t="s">
        <v>3588</v>
      </c>
      <c r="B156" s="11" t="s">
        <v>20</v>
      </c>
      <c r="C156" s="11" t="s">
        <v>3589</v>
      </c>
      <c r="D156" s="11" t="s">
        <v>3584</v>
      </c>
      <c r="E156" s="11" t="s">
        <v>3590</v>
      </c>
      <c r="F156" s="11" t="s">
        <v>3586</v>
      </c>
      <c r="G156" s="12" t="s">
        <v>59</v>
      </c>
      <c r="H156" s="12" t="s">
        <v>59</v>
      </c>
      <c r="I156" s="12" t="s">
        <v>508</v>
      </c>
      <c r="J156" s="11" t="s">
        <v>3587</v>
      </c>
      <c r="K156" s="12" t="s">
        <v>62</v>
      </c>
      <c r="L156" s="12" t="s">
        <v>510</v>
      </c>
    </row>
    <row r="157" spans="1:12" ht="26.4" x14ac:dyDescent="0.3">
      <c r="A157" s="10" t="s">
        <v>3591</v>
      </c>
      <c r="B157" s="11" t="s">
        <v>20</v>
      </c>
      <c r="C157" s="11" t="s">
        <v>3592</v>
      </c>
      <c r="D157" s="11" t="s">
        <v>3584</v>
      </c>
      <c r="E157" s="11" t="s">
        <v>3593</v>
      </c>
      <c r="F157" s="11" t="s">
        <v>3586</v>
      </c>
      <c r="G157" s="12" t="s">
        <v>59</v>
      </c>
      <c r="H157" s="12" t="s">
        <v>59</v>
      </c>
      <c r="I157" s="12" t="s">
        <v>508</v>
      </c>
      <c r="J157" s="11" t="s">
        <v>3587</v>
      </c>
      <c r="K157" s="12" t="s">
        <v>62</v>
      </c>
      <c r="L157" s="12" t="s">
        <v>510</v>
      </c>
    </row>
    <row r="158" spans="1:12" ht="26.4" x14ac:dyDescent="0.3">
      <c r="A158" s="10" t="s">
        <v>3594</v>
      </c>
      <c r="B158" s="11" t="s">
        <v>20</v>
      </c>
      <c r="C158" s="11" t="s">
        <v>3595</v>
      </c>
      <c r="D158" s="11" t="s">
        <v>3584</v>
      </c>
      <c r="E158" s="11" t="s">
        <v>3596</v>
      </c>
      <c r="F158" s="11" t="s">
        <v>3586</v>
      </c>
      <c r="G158" s="12" t="s">
        <v>59</v>
      </c>
      <c r="H158" s="12" t="s">
        <v>59</v>
      </c>
      <c r="I158" s="12" t="s">
        <v>508</v>
      </c>
      <c r="J158" s="11" t="s">
        <v>3587</v>
      </c>
      <c r="K158" s="12" t="s">
        <v>62</v>
      </c>
      <c r="L158" s="12" t="s">
        <v>510</v>
      </c>
    </row>
    <row r="159" spans="1:12" ht="26.4" x14ac:dyDescent="0.3">
      <c r="A159" s="10" t="s">
        <v>3597</v>
      </c>
      <c r="B159" s="11" t="s">
        <v>20</v>
      </c>
      <c r="C159" s="11" t="s">
        <v>3598</v>
      </c>
      <c r="D159" s="11" t="s">
        <v>3584</v>
      </c>
      <c r="E159" s="11" t="s">
        <v>3599</v>
      </c>
      <c r="F159" s="11" t="s">
        <v>3586</v>
      </c>
      <c r="G159" s="12" t="s">
        <v>59</v>
      </c>
      <c r="H159" s="12" t="s">
        <v>59</v>
      </c>
      <c r="I159" s="12" t="s">
        <v>508</v>
      </c>
      <c r="J159" s="11" t="s">
        <v>3587</v>
      </c>
      <c r="K159" s="12" t="s">
        <v>62</v>
      </c>
      <c r="L159" s="12" t="s">
        <v>510</v>
      </c>
    </row>
    <row r="160" spans="1:12" ht="26.4" x14ac:dyDescent="0.3">
      <c r="A160" s="10" t="s">
        <v>3600</v>
      </c>
      <c r="B160" s="11" t="s">
        <v>20</v>
      </c>
      <c r="C160" s="11" t="s">
        <v>3601</v>
      </c>
      <c r="D160" s="11" t="s">
        <v>3584</v>
      </c>
      <c r="E160" s="11" t="s">
        <v>3602</v>
      </c>
      <c r="F160" s="11" t="s">
        <v>3586</v>
      </c>
      <c r="G160" s="12" t="s">
        <v>59</v>
      </c>
      <c r="H160" s="12" t="s">
        <v>59</v>
      </c>
      <c r="I160" s="12" t="s">
        <v>508</v>
      </c>
      <c r="J160" s="11" t="s">
        <v>3587</v>
      </c>
      <c r="K160" s="12" t="s">
        <v>62</v>
      </c>
      <c r="L160" s="12" t="s">
        <v>510</v>
      </c>
    </row>
    <row r="161" spans="1:12" ht="26.4" x14ac:dyDescent="0.3">
      <c r="A161" s="10" t="s">
        <v>3603</v>
      </c>
      <c r="B161" s="11" t="s">
        <v>20</v>
      </c>
      <c r="C161" s="11" t="s">
        <v>3604</v>
      </c>
      <c r="D161" s="11" t="s">
        <v>3584</v>
      </c>
      <c r="E161" s="11" t="s">
        <v>3605</v>
      </c>
      <c r="F161" s="11" t="s">
        <v>3586</v>
      </c>
      <c r="G161" s="12" t="s">
        <v>59</v>
      </c>
      <c r="H161" s="12" t="s">
        <v>59</v>
      </c>
      <c r="I161" s="12" t="s">
        <v>508</v>
      </c>
      <c r="J161" s="11" t="s">
        <v>3587</v>
      </c>
      <c r="K161" s="12" t="s">
        <v>62</v>
      </c>
      <c r="L161" s="12" t="s">
        <v>510</v>
      </c>
    </row>
    <row r="162" spans="1:12" ht="26.4" x14ac:dyDescent="0.3">
      <c r="A162" s="10" t="s">
        <v>3606</v>
      </c>
      <c r="B162" s="11" t="s">
        <v>20</v>
      </c>
      <c r="C162" s="11" t="s">
        <v>3607</v>
      </c>
      <c r="D162" s="11" t="s">
        <v>3584</v>
      </c>
      <c r="E162" s="11" t="s">
        <v>3608</v>
      </c>
      <c r="F162" s="11" t="s">
        <v>3586</v>
      </c>
      <c r="G162" s="12" t="s">
        <v>59</v>
      </c>
      <c r="H162" s="12" t="s">
        <v>59</v>
      </c>
      <c r="I162" s="12" t="s">
        <v>508</v>
      </c>
      <c r="J162" s="11" t="s">
        <v>3587</v>
      </c>
      <c r="K162" s="12" t="s">
        <v>62</v>
      </c>
      <c r="L162" s="12" t="s">
        <v>510</v>
      </c>
    </row>
    <row r="163" spans="1:12" ht="26.4" x14ac:dyDescent="0.3">
      <c r="A163" s="10" t="s">
        <v>3609</v>
      </c>
      <c r="B163" s="11" t="s">
        <v>20</v>
      </c>
      <c r="C163" s="11" t="s">
        <v>3610</v>
      </c>
      <c r="D163" s="11" t="s">
        <v>3611</v>
      </c>
      <c r="E163" s="11" t="s">
        <v>3612</v>
      </c>
      <c r="F163" s="11" t="s">
        <v>3613</v>
      </c>
      <c r="G163" s="12" t="s">
        <v>59</v>
      </c>
      <c r="H163" s="12" t="s">
        <v>59</v>
      </c>
      <c r="I163" s="12" t="s">
        <v>508</v>
      </c>
      <c r="J163" s="11" t="s">
        <v>3614</v>
      </c>
      <c r="K163" s="12" t="s">
        <v>62</v>
      </c>
      <c r="L163" s="12" t="s">
        <v>510</v>
      </c>
    </row>
    <row r="164" spans="1:12" ht="26.4" x14ac:dyDescent="0.3">
      <c r="A164" s="10" t="s">
        <v>3615</v>
      </c>
      <c r="B164" s="11" t="s">
        <v>20</v>
      </c>
      <c r="C164" s="11" t="s">
        <v>3610</v>
      </c>
      <c r="D164" s="11" t="s">
        <v>3611</v>
      </c>
      <c r="E164" s="11" t="s">
        <v>3616</v>
      </c>
      <c r="F164" s="11" t="s">
        <v>3617</v>
      </c>
      <c r="G164" s="12" t="s">
        <v>59</v>
      </c>
      <c r="H164" s="12" t="s">
        <v>59</v>
      </c>
      <c r="I164" s="12" t="s">
        <v>508</v>
      </c>
      <c r="J164" s="11" t="s">
        <v>3614</v>
      </c>
      <c r="K164" s="12" t="s">
        <v>62</v>
      </c>
      <c r="L164" s="12" t="s">
        <v>510</v>
      </c>
    </row>
    <row r="165" spans="1:12" ht="26.4" x14ac:dyDescent="0.3">
      <c r="A165" s="10" t="s">
        <v>3618</v>
      </c>
      <c r="B165" s="11" t="s">
        <v>20</v>
      </c>
      <c r="C165" s="11" t="s">
        <v>3619</v>
      </c>
      <c r="D165" s="11" t="s">
        <v>3611</v>
      </c>
      <c r="E165" s="11" t="s">
        <v>3620</v>
      </c>
      <c r="F165" s="11" t="s">
        <v>3621</v>
      </c>
      <c r="G165" s="12" t="s">
        <v>59</v>
      </c>
      <c r="H165" s="12" t="s">
        <v>59</v>
      </c>
      <c r="I165" s="12" t="s">
        <v>508</v>
      </c>
      <c r="J165" s="11" t="s">
        <v>3614</v>
      </c>
      <c r="K165" s="12" t="s">
        <v>62</v>
      </c>
      <c r="L165" s="12" t="s">
        <v>510</v>
      </c>
    </row>
    <row r="166" spans="1:12" ht="26.4" x14ac:dyDescent="0.3">
      <c r="A166" s="10" t="s">
        <v>3622</v>
      </c>
      <c r="B166" s="11" t="s">
        <v>20</v>
      </c>
      <c r="C166" s="11" t="s">
        <v>3623</v>
      </c>
      <c r="D166" s="11" t="s">
        <v>3624</v>
      </c>
      <c r="E166" s="11" t="s">
        <v>3625</v>
      </c>
      <c r="F166" s="11" t="s">
        <v>3626</v>
      </c>
      <c r="G166" s="12" t="s">
        <v>59</v>
      </c>
      <c r="H166" s="12" t="s">
        <v>59</v>
      </c>
      <c r="I166" s="12" t="s">
        <v>508</v>
      </c>
      <c r="J166" s="11" t="s">
        <v>3627</v>
      </c>
      <c r="K166" s="12" t="s">
        <v>62</v>
      </c>
      <c r="L166" s="12" t="s">
        <v>510</v>
      </c>
    </row>
    <row r="167" spans="1:12" ht="26.4" x14ac:dyDescent="0.3">
      <c r="A167" s="10" t="s">
        <v>3628</v>
      </c>
      <c r="B167" s="11" t="s">
        <v>20</v>
      </c>
      <c r="C167" s="11" t="s">
        <v>1272</v>
      </c>
      <c r="D167" s="11" t="s">
        <v>3624</v>
      </c>
      <c r="E167" s="11" t="s">
        <v>3629</v>
      </c>
      <c r="F167" s="11" t="s">
        <v>3626</v>
      </c>
      <c r="G167" s="12" t="s">
        <v>59</v>
      </c>
      <c r="H167" s="12" t="s">
        <v>59</v>
      </c>
      <c r="I167" s="12" t="s">
        <v>508</v>
      </c>
      <c r="J167" s="11" t="s">
        <v>3627</v>
      </c>
      <c r="K167" s="12" t="s">
        <v>62</v>
      </c>
      <c r="L167" s="12" t="s">
        <v>510</v>
      </c>
    </row>
    <row r="168" spans="1:12" ht="26.4" x14ac:dyDescent="0.3">
      <c r="A168" s="10" t="s">
        <v>3630</v>
      </c>
      <c r="B168" s="11" t="s">
        <v>20</v>
      </c>
      <c r="C168" s="11" t="s">
        <v>1274</v>
      </c>
      <c r="D168" s="11" t="s">
        <v>3624</v>
      </c>
      <c r="E168" s="11" t="s">
        <v>3631</v>
      </c>
      <c r="F168" s="11" t="s">
        <v>3626</v>
      </c>
      <c r="G168" s="12" t="s">
        <v>59</v>
      </c>
      <c r="H168" s="12" t="s">
        <v>59</v>
      </c>
      <c r="I168" s="12" t="s">
        <v>508</v>
      </c>
      <c r="J168" s="11" t="s">
        <v>3627</v>
      </c>
      <c r="K168" s="12" t="s">
        <v>62</v>
      </c>
      <c r="L168" s="12" t="s">
        <v>510</v>
      </c>
    </row>
    <row r="169" spans="1:12" ht="26.4" x14ac:dyDescent="0.3">
      <c r="A169" s="10" t="s">
        <v>3632</v>
      </c>
      <c r="B169" s="11" t="s">
        <v>20</v>
      </c>
      <c r="C169" s="11" t="s">
        <v>3633</v>
      </c>
      <c r="D169" s="11" t="s">
        <v>3634</v>
      </c>
      <c r="E169" s="11" t="s">
        <v>3635</v>
      </c>
      <c r="F169" s="11" t="s">
        <v>3636</v>
      </c>
      <c r="G169" s="12" t="s">
        <v>59</v>
      </c>
      <c r="H169" s="12" t="s">
        <v>59</v>
      </c>
      <c r="I169" s="12" t="s">
        <v>508</v>
      </c>
      <c r="J169" s="11" t="s">
        <v>3637</v>
      </c>
      <c r="K169" s="12" t="s">
        <v>62</v>
      </c>
      <c r="L169" s="12" t="s">
        <v>510</v>
      </c>
    </row>
    <row r="170" spans="1:12" ht="26.4" x14ac:dyDescent="0.3">
      <c r="A170" s="10" t="s">
        <v>3638</v>
      </c>
      <c r="B170" s="11" t="s">
        <v>20</v>
      </c>
      <c r="C170" s="11" t="s">
        <v>3639</v>
      </c>
      <c r="D170" s="11" t="s">
        <v>3634</v>
      </c>
      <c r="E170" s="11" t="s">
        <v>3635</v>
      </c>
      <c r="F170" s="11" t="s">
        <v>3636</v>
      </c>
      <c r="G170" s="12" t="s">
        <v>59</v>
      </c>
      <c r="H170" s="12" t="s">
        <v>59</v>
      </c>
      <c r="I170" s="12" t="s">
        <v>508</v>
      </c>
      <c r="J170" s="11" t="s">
        <v>3637</v>
      </c>
      <c r="K170" s="12" t="s">
        <v>62</v>
      </c>
      <c r="L170" s="12" t="s">
        <v>510</v>
      </c>
    </row>
    <row r="171" spans="1:12" ht="26.4" x14ac:dyDescent="0.3">
      <c r="A171" s="10" t="s">
        <v>3640</v>
      </c>
      <c r="B171" s="11" t="s">
        <v>20</v>
      </c>
      <c r="C171" s="11" t="s">
        <v>3641</v>
      </c>
      <c r="D171" s="11" t="s">
        <v>3634</v>
      </c>
      <c r="E171" s="11" t="s">
        <v>3635</v>
      </c>
      <c r="F171" s="11" t="s">
        <v>3636</v>
      </c>
      <c r="G171" s="12" t="s">
        <v>59</v>
      </c>
      <c r="H171" s="12" t="s">
        <v>59</v>
      </c>
      <c r="I171" s="12" t="s">
        <v>508</v>
      </c>
      <c r="J171" s="11" t="s">
        <v>3637</v>
      </c>
      <c r="K171" s="12" t="s">
        <v>62</v>
      </c>
      <c r="L171" s="12" t="s">
        <v>510</v>
      </c>
    </row>
    <row r="172" spans="1:12" ht="26.4" x14ac:dyDescent="0.3">
      <c r="A172" s="10" t="s">
        <v>3642</v>
      </c>
      <c r="B172" s="11" t="s">
        <v>20</v>
      </c>
      <c r="C172" s="11" t="s">
        <v>3643</v>
      </c>
      <c r="D172" s="11" t="s">
        <v>3634</v>
      </c>
      <c r="E172" s="11" t="s">
        <v>3635</v>
      </c>
      <c r="F172" s="11" t="s">
        <v>3636</v>
      </c>
      <c r="G172" s="12" t="s">
        <v>59</v>
      </c>
      <c r="H172" s="12" t="s">
        <v>59</v>
      </c>
      <c r="I172" s="12" t="s">
        <v>508</v>
      </c>
      <c r="J172" s="11" t="s">
        <v>3637</v>
      </c>
      <c r="K172" s="12" t="s">
        <v>62</v>
      </c>
      <c r="L172" s="12" t="s">
        <v>510</v>
      </c>
    </row>
    <row r="173" spans="1:12" ht="26.4" x14ac:dyDescent="0.3">
      <c r="A173" s="10" t="s">
        <v>3644</v>
      </c>
      <c r="B173" s="11" t="s">
        <v>20</v>
      </c>
      <c r="C173" s="11" t="s">
        <v>3645</v>
      </c>
      <c r="D173" s="11" t="s">
        <v>3634</v>
      </c>
      <c r="E173" s="11" t="s">
        <v>3635</v>
      </c>
      <c r="F173" s="11" t="s">
        <v>3636</v>
      </c>
      <c r="G173" s="12" t="s">
        <v>59</v>
      </c>
      <c r="H173" s="12" t="s">
        <v>59</v>
      </c>
      <c r="I173" s="12" t="s">
        <v>508</v>
      </c>
      <c r="J173" s="11" t="s">
        <v>3637</v>
      </c>
      <c r="K173" s="12" t="s">
        <v>62</v>
      </c>
      <c r="L173" s="12" t="s">
        <v>510</v>
      </c>
    </row>
    <row r="174" spans="1:12" ht="26.4" x14ac:dyDescent="0.3">
      <c r="A174" s="10" t="s">
        <v>3646</v>
      </c>
      <c r="B174" s="11" t="s">
        <v>20</v>
      </c>
      <c r="C174" s="11" t="s">
        <v>3647</v>
      </c>
      <c r="D174" s="11" t="s">
        <v>3648</v>
      </c>
      <c r="E174" s="11" t="s">
        <v>3649</v>
      </c>
      <c r="F174" s="11" t="s">
        <v>3650</v>
      </c>
      <c r="G174" s="12" t="s">
        <v>59</v>
      </c>
      <c r="H174" s="12" t="s">
        <v>59</v>
      </c>
      <c r="I174" s="12" t="s">
        <v>508</v>
      </c>
      <c r="J174" s="11" t="s">
        <v>3651</v>
      </c>
      <c r="K174" s="12" t="s">
        <v>62</v>
      </c>
      <c r="L174" s="12" t="s">
        <v>510</v>
      </c>
    </row>
    <row r="175" spans="1:12" ht="26.4" x14ac:dyDescent="0.3">
      <c r="A175" s="10" t="s">
        <v>3652</v>
      </c>
      <c r="B175" s="11" t="s">
        <v>20</v>
      </c>
      <c r="C175" s="11" t="s">
        <v>3653</v>
      </c>
      <c r="D175" s="11" t="s">
        <v>3648</v>
      </c>
      <c r="E175" s="11" t="s">
        <v>3654</v>
      </c>
      <c r="F175" s="11" t="s">
        <v>3650</v>
      </c>
      <c r="G175" s="12" t="s">
        <v>59</v>
      </c>
      <c r="H175" s="12" t="s">
        <v>59</v>
      </c>
      <c r="I175" s="12" t="s">
        <v>508</v>
      </c>
      <c r="J175" s="11" t="s">
        <v>3651</v>
      </c>
      <c r="K175" s="12" t="s">
        <v>62</v>
      </c>
      <c r="L175" s="12" t="s">
        <v>510</v>
      </c>
    </row>
    <row r="176" spans="1:12" ht="26.4" x14ac:dyDescent="0.3">
      <c r="A176" s="10" t="s">
        <v>3655</v>
      </c>
      <c r="B176" s="11" t="s">
        <v>20</v>
      </c>
      <c r="C176" s="11" t="s">
        <v>3656</v>
      </c>
      <c r="D176" s="11" t="s">
        <v>3657</v>
      </c>
      <c r="E176" s="11" t="s">
        <v>3658</v>
      </c>
      <c r="F176" s="11" t="s">
        <v>3659</v>
      </c>
      <c r="G176" s="12" t="s">
        <v>59</v>
      </c>
      <c r="H176" s="12" t="s">
        <v>59</v>
      </c>
      <c r="I176" s="12" t="s">
        <v>508</v>
      </c>
      <c r="J176" s="11" t="s">
        <v>3660</v>
      </c>
      <c r="K176" s="12" t="s">
        <v>62</v>
      </c>
      <c r="L176" s="12" t="s">
        <v>510</v>
      </c>
    </row>
    <row r="177" spans="1:12" ht="26.4" x14ac:dyDescent="0.3">
      <c r="A177" s="10" t="s">
        <v>3661</v>
      </c>
      <c r="B177" s="11" t="s">
        <v>20</v>
      </c>
      <c r="C177" s="11" t="s">
        <v>3662</v>
      </c>
      <c r="D177" s="11" t="s">
        <v>3657</v>
      </c>
      <c r="E177" s="11" t="s">
        <v>3663</v>
      </c>
      <c r="F177" s="11" t="s">
        <v>3664</v>
      </c>
      <c r="G177" s="12" t="s">
        <v>59</v>
      </c>
      <c r="H177" s="12" t="s">
        <v>59</v>
      </c>
      <c r="I177" s="12" t="s">
        <v>508</v>
      </c>
      <c r="J177" s="11" t="s">
        <v>3660</v>
      </c>
      <c r="K177" s="12" t="s">
        <v>62</v>
      </c>
      <c r="L177" s="12" t="s">
        <v>510</v>
      </c>
    </row>
    <row r="178" spans="1:12" ht="26.4" x14ac:dyDescent="0.3">
      <c r="A178" s="10" t="s">
        <v>3665</v>
      </c>
      <c r="B178" s="11" t="s">
        <v>20</v>
      </c>
      <c r="C178" s="11" t="s">
        <v>3666</v>
      </c>
      <c r="D178" s="11" t="s">
        <v>3657</v>
      </c>
      <c r="E178" s="11" t="s">
        <v>3667</v>
      </c>
      <c r="F178" s="11" t="s">
        <v>3668</v>
      </c>
      <c r="G178" s="12" t="s">
        <v>59</v>
      </c>
      <c r="H178" s="12" t="s">
        <v>59</v>
      </c>
      <c r="I178" s="12" t="s">
        <v>508</v>
      </c>
      <c r="J178" s="11" t="s">
        <v>3660</v>
      </c>
      <c r="K178" s="12" t="s">
        <v>62</v>
      </c>
      <c r="L178" s="12" t="s">
        <v>510</v>
      </c>
    </row>
    <row r="179" spans="1:12" ht="26.4" x14ac:dyDescent="0.3">
      <c r="A179" s="10" t="s">
        <v>3669</v>
      </c>
      <c r="B179" s="11" t="s">
        <v>20</v>
      </c>
      <c r="C179" s="11" t="s">
        <v>3670</v>
      </c>
      <c r="D179" s="11" t="s">
        <v>3657</v>
      </c>
      <c r="E179" s="11" t="s">
        <v>3671</v>
      </c>
      <c r="F179" s="11" t="s">
        <v>3672</v>
      </c>
      <c r="G179" s="12" t="s">
        <v>59</v>
      </c>
      <c r="H179" s="12" t="s">
        <v>59</v>
      </c>
      <c r="I179" s="12" t="s">
        <v>508</v>
      </c>
      <c r="J179" s="11" t="s">
        <v>3660</v>
      </c>
      <c r="K179" s="12" t="s">
        <v>62</v>
      </c>
      <c r="L179" s="12" t="s">
        <v>510</v>
      </c>
    </row>
    <row r="180" spans="1:12" ht="39.6" x14ac:dyDescent="0.3">
      <c r="A180" s="10" t="s">
        <v>3673</v>
      </c>
      <c r="B180" s="11" t="s">
        <v>20</v>
      </c>
      <c r="C180" s="11" t="s">
        <v>3674</v>
      </c>
      <c r="D180" s="11" t="s">
        <v>3675</v>
      </c>
      <c r="E180" s="11" t="s">
        <v>3676</v>
      </c>
      <c r="F180" s="11" t="s">
        <v>3677</v>
      </c>
      <c r="G180" s="12" t="s">
        <v>59</v>
      </c>
      <c r="H180" s="12" t="s">
        <v>59</v>
      </c>
      <c r="I180" s="12" t="s">
        <v>508</v>
      </c>
      <c r="J180" s="11" t="s">
        <v>3678</v>
      </c>
      <c r="K180" s="12" t="s">
        <v>62</v>
      </c>
      <c r="L180" s="12" t="s">
        <v>510</v>
      </c>
    </row>
    <row r="181" spans="1:12" ht="39.6" x14ac:dyDescent="0.3">
      <c r="A181" s="10" t="s">
        <v>3679</v>
      </c>
      <c r="B181" s="11" t="s">
        <v>20</v>
      </c>
      <c r="C181" s="11" t="s">
        <v>3680</v>
      </c>
      <c r="D181" s="11" t="s">
        <v>3675</v>
      </c>
      <c r="E181" s="11" t="s">
        <v>3681</v>
      </c>
      <c r="F181" s="11" t="s">
        <v>3677</v>
      </c>
      <c r="G181" s="12" t="s">
        <v>59</v>
      </c>
      <c r="H181" s="12" t="s">
        <v>59</v>
      </c>
      <c r="I181" s="12" t="s">
        <v>508</v>
      </c>
      <c r="J181" s="11" t="s">
        <v>3678</v>
      </c>
      <c r="K181" s="12" t="s">
        <v>62</v>
      </c>
      <c r="L181" s="12" t="s">
        <v>510</v>
      </c>
    </row>
    <row r="182" spans="1:12" ht="39.6" x14ac:dyDescent="0.3">
      <c r="A182" s="10" t="s">
        <v>3682</v>
      </c>
      <c r="B182" s="11" t="s">
        <v>20</v>
      </c>
      <c r="C182" s="11" t="s">
        <v>3683</v>
      </c>
      <c r="D182" s="11" t="s">
        <v>3675</v>
      </c>
      <c r="E182" s="11" t="s">
        <v>3684</v>
      </c>
      <c r="F182" s="11" t="s">
        <v>3677</v>
      </c>
      <c r="G182" s="12" t="s">
        <v>59</v>
      </c>
      <c r="H182" s="12" t="s">
        <v>59</v>
      </c>
      <c r="I182" s="12" t="s">
        <v>508</v>
      </c>
      <c r="J182" s="11" t="s">
        <v>3678</v>
      </c>
      <c r="K182" s="12" t="s">
        <v>62</v>
      </c>
      <c r="L182" s="12" t="s">
        <v>510</v>
      </c>
    </row>
    <row r="183" spans="1:12" ht="39.6" x14ac:dyDescent="0.3">
      <c r="A183" s="10" t="s">
        <v>3685</v>
      </c>
      <c r="B183" s="11" t="s">
        <v>20</v>
      </c>
      <c r="C183" s="11" t="s">
        <v>3686</v>
      </c>
      <c r="D183" s="11" t="s">
        <v>3675</v>
      </c>
      <c r="E183" s="11" t="s">
        <v>3687</v>
      </c>
      <c r="F183" s="11" t="s">
        <v>3677</v>
      </c>
      <c r="G183" s="12" t="s">
        <v>59</v>
      </c>
      <c r="H183" s="12" t="s">
        <v>59</v>
      </c>
      <c r="I183" s="12" t="s">
        <v>508</v>
      </c>
      <c r="J183" s="11" t="s">
        <v>3678</v>
      </c>
      <c r="K183" s="12" t="s">
        <v>62</v>
      </c>
      <c r="L183" s="12" t="s">
        <v>510</v>
      </c>
    </row>
    <row r="184" spans="1:12" ht="26.4" x14ac:dyDescent="0.3">
      <c r="A184" s="10" t="s">
        <v>3688</v>
      </c>
      <c r="B184" s="11" t="s">
        <v>20</v>
      </c>
      <c r="C184" s="11" t="s">
        <v>3689</v>
      </c>
      <c r="D184" s="11" t="s">
        <v>3675</v>
      </c>
      <c r="E184" s="11" t="s">
        <v>3690</v>
      </c>
      <c r="F184" s="11" t="s">
        <v>3677</v>
      </c>
      <c r="G184" s="12" t="s">
        <v>59</v>
      </c>
      <c r="H184" s="12" t="s">
        <v>59</v>
      </c>
      <c r="I184" s="12" t="s">
        <v>508</v>
      </c>
      <c r="J184" s="11" t="s">
        <v>3678</v>
      </c>
      <c r="K184" s="12" t="s">
        <v>62</v>
      </c>
      <c r="L184" s="12" t="s">
        <v>510</v>
      </c>
    </row>
    <row r="185" spans="1:12" ht="39.6" x14ac:dyDescent="0.3">
      <c r="A185" s="10" t="s">
        <v>3691</v>
      </c>
      <c r="B185" s="11" t="s">
        <v>20</v>
      </c>
      <c r="C185" s="11" t="s">
        <v>3692</v>
      </c>
      <c r="D185" s="11" t="s">
        <v>3675</v>
      </c>
      <c r="E185" s="11" t="s">
        <v>3693</v>
      </c>
      <c r="F185" s="11" t="s">
        <v>3677</v>
      </c>
      <c r="G185" s="12" t="s">
        <v>59</v>
      </c>
      <c r="H185" s="12" t="s">
        <v>59</v>
      </c>
      <c r="I185" s="12" t="s">
        <v>508</v>
      </c>
      <c r="J185" s="11" t="s">
        <v>3678</v>
      </c>
      <c r="K185" s="12" t="s">
        <v>62</v>
      </c>
      <c r="L185" s="12" t="s">
        <v>510</v>
      </c>
    </row>
    <row r="186" spans="1:12" ht="39.6" x14ac:dyDescent="0.3">
      <c r="A186" s="10" t="s">
        <v>3694</v>
      </c>
      <c r="B186" s="11" t="s">
        <v>20</v>
      </c>
      <c r="C186" s="11" t="s">
        <v>3695</v>
      </c>
      <c r="D186" s="11" t="s">
        <v>3675</v>
      </c>
      <c r="E186" s="11" t="s">
        <v>3696</v>
      </c>
      <c r="F186" s="11" t="s">
        <v>3677</v>
      </c>
      <c r="G186" s="12" t="s">
        <v>59</v>
      </c>
      <c r="H186" s="12" t="s">
        <v>59</v>
      </c>
      <c r="I186" s="12" t="s">
        <v>508</v>
      </c>
      <c r="J186" s="11" t="s">
        <v>3678</v>
      </c>
      <c r="K186" s="12" t="s">
        <v>62</v>
      </c>
      <c r="L186" s="12" t="s">
        <v>510</v>
      </c>
    </row>
    <row r="187" spans="1:12" ht="39.6" x14ac:dyDescent="0.3">
      <c r="A187" s="10" t="s">
        <v>3697</v>
      </c>
      <c r="B187" s="11" t="s">
        <v>20</v>
      </c>
      <c r="C187" s="11" t="s">
        <v>3698</v>
      </c>
      <c r="D187" s="11" t="s">
        <v>3675</v>
      </c>
      <c r="E187" s="11" t="s">
        <v>3699</v>
      </c>
      <c r="F187" s="11" t="s">
        <v>3677</v>
      </c>
      <c r="G187" s="12" t="s">
        <v>59</v>
      </c>
      <c r="H187" s="12" t="s">
        <v>59</v>
      </c>
      <c r="I187" s="12" t="s">
        <v>508</v>
      </c>
      <c r="J187" s="11" t="s">
        <v>3678</v>
      </c>
      <c r="K187" s="12" t="s">
        <v>62</v>
      </c>
      <c r="L187" s="12" t="s">
        <v>510</v>
      </c>
    </row>
    <row r="188" spans="1:12" ht="26.4" x14ac:dyDescent="0.3">
      <c r="A188" s="10" t="s">
        <v>3700</v>
      </c>
      <c r="B188" s="11" t="s">
        <v>20</v>
      </c>
      <c r="C188" s="11" t="s">
        <v>3701</v>
      </c>
      <c r="D188" s="11" t="s">
        <v>3702</v>
      </c>
      <c r="E188" s="11" t="s">
        <v>3703</v>
      </c>
      <c r="F188" s="11" t="s">
        <v>3704</v>
      </c>
      <c r="G188" s="12" t="s">
        <v>59</v>
      </c>
      <c r="H188" s="12" t="s">
        <v>59</v>
      </c>
      <c r="I188" s="12" t="s">
        <v>508</v>
      </c>
      <c r="J188" s="11" t="s">
        <v>3705</v>
      </c>
      <c r="K188" s="12" t="s">
        <v>62</v>
      </c>
      <c r="L188" s="12" t="s">
        <v>510</v>
      </c>
    </row>
    <row r="189" spans="1:12" ht="26.4" x14ac:dyDescent="0.3">
      <c r="A189" s="10" t="s">
        <v>3706</v>
      </c>
      <c r="B189" s="11" t="s">
        <v>20</v>
      </c>
      <c r="C189" s="11" t="s">
        <v>3707</v>
      </c>
      <c r="D189" s="11" t="s">
        <v>3702</v>
      </c>
      <c r="E189" s="11" t="s">
        <v>3708</v>
      </c>
      <c r="F189" s="11" t="s">
        <v>3704</v>
      </c>
      <c r="G189" s="12" t="s">
        <v>59</v>
      </c>
      <c r="H189" s="12" t="s">
        <v>59</v>
      </c>
      <c r="I189" s="12" t="s">
        <v>508</v>
      </c>
      <c r="J189" s="11" t="s">
        <v>3705</v>
      </c>
      <c r="K189" s="12" t="s">
        <v>62</v>
      </c>
      <c r="L189" s="12" t="s">
        <v>510</v>
      </c>
    </row>
    <row r="190" spans="1:12" ht="26.4" x14ac:dyDescent="0.3">
      <c r="A190" s="10" t="s">
        <v>3709</v>
      </c>
      <c r="B190" s="11" t="s">
        <v>20</v>
      </c>
      <c r="C190" s="11" t="s">
        <v>3710</v>
      </c>
      <c r="D190" s="11" t="s">
        <v>3702</v>
      </c>
      <c r="E190" s="11" t="s">
        <v>3711</v>
      </c>
      <c r="F190" s="11" t="s">
        <v>3704</v>
      </c>
      <c r="G190" s="12" t="s">
        <v>59</v>
      </c>
      <c r="H190" s="12" t="s">
        <v>59</v>
      </c>
      <c r="I190" s="12" t="s">
        <v>508</v>
      </c>
      <c r="J190" s="11" t="s">
        <v>3705</v>
      </c>
      <c r="K190" s="12" t="s">
        <v>62</v>
      </c>
      <c r="L190" s="12" t="s">
        <v>510</v>
      </c>
    </row>
    <row r="191" spans="1:12" ht="26.4" x14ac:dyDescent="0.3">
      <c r="A191" s="10" t="s">
        <v>3712</v>
      </c>
      <c r="B191" s="11" t="s">
        <v>20</v>
      </c>
      <c r="C191" s="11" t="s">
        <v>3713</v>
      </c>
      <c r="D191" s="11" t="s">
        <v>3714</v>
      </c>
      <c r="E191" s="11" t="s">
        <v>1225</v>
      </c>
      <c r="F191" s="11" t="s">
        <v>3715</v>
      </c>
      <c r="G191" s="12" t="s">
        <v>59</v>
      </c>
      <c r="H191" s="12" t="s">
        <v>59</v>
      </c>
      <c r="I191" s="12" t="s">
        <v>508</v>
      </c>
      <c r="J191" s="11" t="s">
        <v>3716</v>
      </c>
      <c r="K191" s="12" t="s">
        <v>62</v>
      </c>
      <c r="L191" s="12" t="s">
        <v>510</v>
      </c>
    </row>
    <row r="192" spans="1:12" ht="26.4" x14ac:dyDescent="0.3">
      <c r="A192" s="10" t="s">
        <v>3717</v>
      </c>
      <c r="B192" s="11" t="s">
        <v>20</v>
      </c>
      <c r="C192" s="11" t="s">
        <v>3718</v>
      </c>
      <c r="D192" s="11" t="s">
        <v>3714</v>
      </c>
      <c r="E192" s="11" t="s">
        <v>1227</v>
      </c>
      <c r="F192" s="11" t="s">
        <v>3715</v>
      </c>
      <c r="G192" s="12" t="s">
        <v>59</v>
      </c>
      <c r="H192" s="12" t="s">
        <v>59</v>
      </c>
      <c r="I192" s="12" t="s">
        <v>508</v>
      </c>
      <c r="J192" s="11" t="s">
        <v>3716</v>
      </c>
      <c r="K192" s="12" t="s">
        <v>62</v>
      </c>
      <c r="L192" s="12" t="s">
        <v>510</v>
      </c>
    </row>
    <row r="193" spans="1:12" ht="26.4" x14ac:dyDescent="0.3">
      <c r="A193" s="10" t="s">
        <v>3719</v>
      </c>
      <c r="B193" s="11" t="s">
        <v>20</v>
      </c>
      <c r="C193" s="11" t="s">
        <v>3720</v>
      </c>
      <c r="D193" s="11" t="s">
        <v>3714</v>
      </c>
      <c r="E193" s="11" t="s">
        <v>1230</v>
      </c>
      <c r="F193" s="11" t="s">
        <v>3721</v>
      </c>
      <c r="G193" s="12" t="s">
        <v>59</v>
      </c>
      <c r="H193" s="12" t="s">
        <v>59</v>
      </c>
      <c r="I193" s="12" t="s">
        <v>508</v>
      </c>
      <c r="J193" s="11" t="s">
        <v>3716</v>
      </c>
      <c r="K193" s="12" t="s">
        <v>62</v>
      </c>
      <c r="L193" s="12" t="s">
        <v>510</v>
      </c>
    </row>
    <row r="194" spans="1:12" ht="26.4" x14ac:dyDescent="0.3">
      <c r="A194" s="10" t="s">
        <v>3722</v>
      </c>
      <c r="B194" s="11" t="s">
        <v>20</v>
      </c>
      <c r="C194" s="11" t="s">
        <v>3723</v>
      </c>
      <c r="D194" s="11" t="s">
        <v>3714</v>
      </c>
      <c r="E194" s="11" t="s">
        <v>3724</v>
      </c>
      <c r="F194" s="11" t="s">
        <v>3721</v>
      </c>
      <c r="G194" s="12" t="s">
        <v>59</v>
      </c>
      <c r="H194" s="12" t="s">
        <v>59</v>
      </c>
      <c r="I194" s="12" t="s">
        <v>508</v>
      </c>
      <c r="J194" s="11" t="s">
        <v>3716</v>
      </c>
      <c r="K194" s="12" t="s">
        <v>62</v>
      </c>
      <c r="L194" s="12" t="s">
        <v>510</v>
      </c>
    </row>
    <row r="195" spans="1:12" ht="39.6" x14ac:dyDescent="0.3">
      <c r="A195" s="10" t="s">
        <v>3725</v>
      </c>
      <c r="B195" s="11" t="s">
        <v>20</v>
      </c>
      <c r="C195" s="11" t="s">
        <v>3726</v>
      </c>
      <c r="D195" s="11" t="s">
        <v>3727</v>
      </c>
      <c r="E195" s="11" t="s">
        <v>3728</v>
      </c>
      <c r="F195" s="11" t="s">
        <v>3729</v>
      </c>
      <c r="G195" s="12" t="s">
        <v>59</v>
      </c>
      <c r="H195" s="12" t="s">
        <v>59</v>
      </c>
      <c r="I195" s="12" t="s">
        <v>508</v>
      </c>
      <c r="J195" s="11" t="s">
        <v>3730</v>
      </c>
      <c r="K195" s="12" t="s">
        <v>62</v>
      </c>
      <c r="L195" s="12" t="s">
        <v>510</v>
      </c>
    </row>
    <row r="196" spans="1:12" ht="39.6" x14ac:dyDescent="0.3">
      <c r="A196" s="10" t="s">
        <v>3731</v>
      </c>
      <c r="B196" s="11" t="s">
        <v>20</v>
      </c>
      <c r="C196" s="11" t="s">
        <v>3732</v>
      </c>
      <c r="D196" s="11" t="s">
        <v>3727</v>
      </c>
      <c r="E196" s="11" t="s">
        <v>3733</v>
      </c>
      <c r="F196" s="11" t="s">
        <v>3734</v>
      </c>
      <c r="G196" s="12" t="s">
        <v>59</v>
      </c>
      <c r="H196" s="12" t="s">
        <v>59</v>
      </c>
      <c r="I196" s="12" t="s">
        <v>508</v>
      </c>
      <c r="J196" s="11" t="s">
        <v>3730</v>
      </c>
      <c r="K196" s="12" t="s">
        <v>62</v>
      </c>
      <c r="L196" s="12" t="s">
        <v>510</v>
      </c>
    </row>
    <row r="197" spans="1:12" ht="39.6" x14ac:dyDescent="0.3">
      <c r="A197" s="10" t="s">
        <v>3735</v>
      </c>
      <c r="B197" s="11" t="s">
        <v>20</v>
      </c>
      <c r="C197" s="11" t="s">
        <v>3736</v>
      </c>
      <c r="D197" s="11" t="s">
        <v>3727</v>
      </c>
      <c r="E197" s="11" t="s">
        <v>3737</v>
      </c>
      <c r="F197" s="11" t="s">
        <v>3738</v>
      </c>
      <c r="G197" s="12" t="s">
        <v>59</v>
      </c>
      <c r="H197" s="12" t="s">
        <v>59</v>
      </c>
      <c r="I197" s="12" t="s">
        <v>508</v>
      </c>
      <c r="J197" s="11" t="s">
        <v>3730</v>
      </c>
      <c r="K197" s="12" t="s">
        <v>62</v>
      </c>
      <c r="L197" s="12" t="s">
        <v>510</v>
      </c>
    </row>
    <row r="198" spans="1:12" ht="39.6" x14ac:dyDescent="0.3">
      <c r="A198" s="10" t="s">
        <v>3739</v>
      </c>
      <c r="B198" s="11" t="s">
        <v>20</v>
      </c>
      <c r="C198" s="11" t="s">
        <v>3740</v>
      </c>
      <c r="D198" s="11" t="s">
        <v>3727</v>
      </c>
      <c r="E198" s="11" t="s">
        <v>3741</v>
      </c>
      <c r="F198" s="11" t="s">
        <v>3742</v>
      </c>
      <c r="G198" s="12" t="s">
        <v>59</v>
      </c>
      <c r="H198" s="12" t="s">
        <v>59</v>
      </c>
      <c r="I198" s="12" t="s">
        <v>508</v>
      </c>
      <c r="J198" s="11" t="s">
        <v>3730</v>
      </c>
      <c r="K198" s="12" t="s">
        <v>62</v>
      </c>
      <c r="L198" s="12" t="s">
        <v>510</v>
      </c>
    </row>
    <row r="199" spans="1:12" ht="39.6" x14ac:dyDescent="0.3">
      <c r="A199" s="10" t="s">
        <v>3743</v>
      </c>
      <c r="B199" s="11" t="s">
        <v>20</v>
      </c>
      <c r="C199" s="11" t="s">
        <v>3744</v>
      </c>
      <c r="D199" s="11" t="s">
        <v>3745</v>
      </c>
      <c r="E199" s="11" t="s">
        <v>3746</v>
      </c>
      <c r="F199" s="11" t="s">
        <v>3747</v>
      </c>
      <c r="G199" s="12" t="s">
        <v>59</v>
      </c>
      <c r="H199" s="12" t="s">
        <v>59</v>
      </c>
      <c r="I199" s="12" t="s">
        <v>508</v>
      </c>
      <c r="J199" s="11" t="s">
        <v>3748</v>
      </c>
      <c r="K199" s="12" t="s">
        <v>62</v>
      </c>
      <c r="L199" s="12" t="s">
        <v>510</v>
      </c>
    </row>
    <row r="200" spans="1:12" ht="39.6" x14ac:dyDescent="0.3">
      <c r="A200" s="10" t="s">
        <v>3749</v>
      </c>
      <c r="B200" s="11" t="s">
        <v>20</v>
      </c>
      <c r="C200" s="11" t="s">
        <v>3750</v>
      </c>
      <c r="D200" s="11" t="s">
        <v>3745</v>
      </c>
      <c r="E200" s="11" t="s">
        <v>3751</v>
      </c>
      <c r="F200" s="11" t="s">
        <v>3752</v>
      </c>
      <c r="G200" s="12" t="s">
        <v>59</v>
      </c>
      <c r="H200" s="12" t="s">
        <v>59</v>
      </c>
      <c r="I200" s="12" t="s">
        <v>508</v>
      </c>
      <c r="J200" s="11" t="s">
        <v>3748</v>
      </c>
      <c r="K200" s="12" t="s">
        <v>62</v>
      </c>
      <c r="L200" s="12" t="s">
        <v>510</v>
      </c>
    </row>
    <row r="201" spans="1:12" ht="39.6" x14ac:dyDescent="0.3">
      <c r="A201" s="10" t="s">
        <v>3753</v>
      </c>
      <c r="B201" s="11" t="s">
        <v>20</v>
      </c>
      <c r="C201" s="11" t="s">
        <v>3754</v>
      </c>
      <c r="D201" s="11" t="s">
        <v>3745</v>
      </c>
      <c r="E201" s="11" t="s">
        <v>3755</v>
      </c>
      <c r="F201" s="11" t="s">
        <v>3756</v>
      </c>
      <c r="G201" s="12" t="s">
        <v>59</v>
      </c>
      <c r="H201" s="12" t="s">
        <v>59</v>
      </c>
      <c r="I201" s="12" t="s">
        <v>508</v>
      </c>
      <c r="J201" s="11" t="s">
        <v>3748</v>
      </c>
      <c r="K201" s="12" t="s">
        <v>62</v>
      </c>
      <c r="L201" s="12" t="s">
        <v>510</v>
      </c>
    </row>
    <row r="202" spans="1:12" ht="26.4" x14ac:dyDescent="0.3">
      <c r="A202" s="10" t="s">
        <v>3757</v>
      </c>
      <c r="B202" s="11" t="s">
        <v>20</v>
      </c>
      <c r="C202" s="11" t="s">
        <v>3758</v>
      </c>
      <c r="D202" s="11" t="s">
        <v>3759</v>
      </c>
      <c r="E202" s="11" t="s">
        <v>3760</v>
      </c>
      <c r="F202" s="11" t="s">
        <v>3761</v>
      </c>
      <c r="G202" s="12" t="s">
        <v>59</v>
      </c>
      <c r="H202" s="12" t="s">
        <v>59</v>
      </c>
      <c r="I202" s="12" t="s">
        <v>508</v>
      </c>
      <c r="J202" s="11" t="s">
        <v>3762</v>
      </c>
      <c r="K202" s="12" t="s">
        <v>62</v>
      </c>
      <c r="L202" s="12" t="s">
        <v>510</v>
      </c>
    </row>
    <row r="203" spans="1:12" ht="26.4" x14ac:dyDescent="0.3">
      <c r="A203" s="10" t="s">
        <v>3763</v>
      </c>
      <c r="B203" s="11" t="s">
        <v>20</v>
      </c>
      <c r="C203" s="11" t="s">
        <v>3758</v>
      </c>
      <c r="D203" s="11" t="s">
        <v>3759</v>
      </c>
      <c r="E203" s="11" t="s">
        <v>3764</v>
      </c>
      <c r="F203" s="11" t="s">
        <v>3765</v>
      </c>
      <c r="G203" s="12" t="s">
        <v>59</v>
      </c>
      <c r="H203" s="12" t="s">
        <v>59</v>
      </c>
      <c r="I203" s="12" t="s">
        <v>508</v>
      </c>
      <c r="J203" s="11" t="s">
        <v>3762</v>
      </c>
      <c r="K203" s="12" t="s">
        <v>62</v>
      </c>
      <c r="L203" s="12" t="s">
        <v>510</v>
      </c>
    </row>
    <row r="204" spans="1:12" ht="26.4" x14ac:dyDescent="0.3">
      <c r="A204" s="10" t="s">
        <v>3766</v>
      </c>
      <c r="B204" s="11" t="s">
        <v>20</v>
      </c>
      <c r="C204" s="11" t="s">
        <v>3758</v>
      </c>
      <c r="D204" s="11" t="s">
        <v>3759</v>
      </c>
      <c r="E204" s="11" t="s">
        <v>3767</v>
      </c>
      <c r="F204" s="11" t="s">
        <v>3765</v>
      </c>
      <c r="G204" s="12" t="s">
        <v>59</v>
      </c>
      <c r="H204" s="12" t="s">
        <v>59</v>
      </c>
      <c r="I204" s="12" t="s">
        <v>508</v>
      </c>
      <c r="J204" s="11" t="s">
        <v>3762</v>
      </c>
      <c r="K204" s="12" t="s">
        <v>62</v>
      </c>
      <c r="L204" s="12" t="s">
        <v>510</v>
      </c>
    </row>
    <row r="205" spans="1:12" ht="26.4" x14ac:dyDescent="0.3">
      <c r="A205" s="10" t="s">
        <v>3768</v>
      </c>
      <c r="B205" s="11" t="s">
        <v>20</v>
      </c>
      <c r="C205" s="11" t="s">
        <v>3758</v>
      </c>
      <c r="D205" s="11" t="s">
        <v>3759</v>
      </c>
      <c r="E205" s="11" t="s">
        <v>3769</v>
      </c>
      <c r="F205" s="11" t="s">
        <v>3765</v>
      </c>
      <c r="G205" s="12" t="s">
        <v>59</v>
      </c>
      <c r="H205" s="12" t="s">
        <v>59</v>
      </c>
      <c r="I205" s="12" t="s">
        <v>508</v>
      </c>
      <c r="J205" s="11" t="s">
        <v>3762</v>
      </c>
      <c r="K205" s="12" t="s">
        <v>62</v>
      </c>
      <c r="L205" s="12" t="s">
        <v>510</v>
      </c>
    </row>
    <row r="206" spans="1:12" ht="26.4" x14ac:dyDescent="0.3">
      <c r="A206" s="10" t="s">
        <v>3770</v>
      </c>
      <c r="B206" s="11" t="s">
        <v>20</v>
      </c>
      <c r="C206" s="11" t="s">
        <v>3758</v>
      </c>
      <c r="D206" s="11" t="s">
        <v>3759</v>
      </c>
      <c r="E206" s="11" t="s">
        <v>3771</v>
      </c>
      <c r="F206" s="11" t="s">
        <v>3765</v>
      </c>
      <c r="G206" s="12" t="s">
        <v>59</v>
      </c>
      <c r="H206" s="12" t="s">
        <v>59</v>
      </c>
      <c r="I206" s="12" t="s">
        <v>508</v>
      </c>
      <c r="J206" s="11" t="s">
        <v>3762</v>
      </c>
      <c r="K206" s="12" t="s">
        <v>62</v>
      </c>
      <c r="L206" s="12" t="s">
        <v>510</v>
      </c>
    </row>
    <row r="207" spans="1:12" ht="26.4" x14ac:dyDescent="0.3">
      <c r="A207" s="10" t="s">
        <v>3772</v>
      </c>
      <c r="B207" s="11" t="s">
        <v>20</v>
      </c>
      <c r="C207" s="11" t="s">
        <v>3758</v>
      </c>
      <c r="D207" s="11" t="s">
        <v>3759</v>
      </c>
      <c r="E207" s="11" t="s">
        <v>3773</v>
      </c>
      <c r="F207" s="11" t="s">
        <v>3761</v>
      </c>
      <c r="G207" s="12" t="s">
        <v>59</v>
      </c>
      <c r="H207" s="12" t="s">
        <v>59</v>
      </c>
      <c r="I207" s="12" t="s">
        <v>508</v>
      </c>
      <c r="J207" s="11" t="s">
        <v>3762</v>
      </c>
      <c r="K207" s="12" t="s">
        <v>62</v>
      </c>
      <c r="L207" s="12" t="s">
        <v>510</v>
      </c>
    </row>
    <row r="208" spans="1:12" ht="26.4" x14ac:dyDescent="0.3">
      <c r="A208" s="10" t="s">
        <v>3774</v>
      </c>
      <c r="B208" s="11" t="s">
        <v>20</v>
      </c>
      <c r="C208" s="11" t="s">
        <v>3758</v>
      </c>
      <c r="D208" s="11" t="s">
        <v>3759</v>
      </c>
      <c r="E208" s="11" t="s">
        <v>3775</v>
      </c>
      <c r="F208" s="11" t="s">
        <v>3765</v>
      </c>
      <c r="G208" s="12" t="s">
        <v>59</v>
      </c>
      <c r="H208" s="12" t="s">
        <v>59</v>
      </c>
      <c r="I208" s="12" t="s">
        <v>508</v>
      </c>
      <c r="J208" s="11" t="s">
        <v>3762</v>
      </c>
      <c r="K208" s="12" t="s">
        <v>62</v>
      </c>
      <c r="L208" s="12" t="s">
        <v>510</v>
      </c>
    </row>
    <row r="209" spans="1:12" ht="26.4" x14ac:dyDescent="0.3">
      <c r="A209" s="10" t="s">
        <v>3776</v>
      </c>
      <c r="B209" s="11" t="s">
        <v>20</v>
      </c>
      <c r="C209" s="11" t="s">
        <v>3758</v>
      </c>
      <c r="D209" s="11" t="s">
        <v>3759</v>
      </c>
      <c r="E209" s="11" t="s">
        <v>3777</v>
      </c>
      <c r="F209" s="11" t="s">
        <v>3761</v>
      </c>
      <c r="G209" s="12" t="s">
        <v>59</v>
      </c>
      <c r="H209" s="12" t="s">
        <v>59</v>
      </c>
      <c r="I209" s="12" t="s">
        <v>508</v>
      </c>
      <c r="J209" s="11" t="s">
        <v>3762</v>
      </c>
      <c r="K209" s="12" t="s">
        <v>62</v>
      </c>
      <c r="L209" s="12" t="s">
        <v>510</v>
      </c>
    </row>
    <row r="210" spans="1:12" ht="26.4" x14ac:dyDescent="0.3">
      <c r="A210" s="10" t="s">
        <v>3778</v>
      </c>
      <c r="B210" s="11" t="s">
        <v>20</v>
      </c>
      <c r="C210" s="11" t="s">
        <v>3779</v>
      </c>
      <c r="D210" s="11" t="s">
        <v>3780</v>
      </c>
      <c r="E210" s="11" t="s">
        <v>3781</v>
      </c>
      <c r="F210" s="11" t="s">
        <v>3782</v>
      </c>
      <c r="G210" s="12" t="s">
        <v>59</v>
      </c>
      <c r="H210" s="12" t="s">
        <v>59</v>
      </c>
      <c r="I210" s="12" t="s">
        <v>508</v>
      </c>
      <c r="J210" s="11" t="s">
        <v>3783</v>
      </c>
      <c r="K210" s="12" t="s">
        <v>62</v>
      </c>
      <c r="L210" s="12" t="s">
        <v>510</v>
      </c>
    </row>
    <row r="211" spans="1:12" ht="26.4" x14ac:dyDescent="0.3">
      <c r="A211" s="10" t="s">
        <v>3784</v>
      </c>
      <c r="B211" s="11" t="s">
        <v>20</v>
      </c>
      <c r="C211" s="11" t="s">
        <v>3785</v>
      </c>
      <c r="D211" s="11" t="s">
        <v>3780</v>
      </c>
      <c r="E211" s="11" t="s">
        <v>3786</v>
      </c>
      <c r="F211" s="11" t="s">
        <v>3787</v>
      </c>
      <c r="G211" s="12" t="s">
        <v>59</v>
      </c>
      <c r="H211" s="12" t="s">
        <v>59</v>
      </c>
      <c r="I211" s="12" t="s">
        <v>508</v>
      </c>
      <c r="J211" s="11" t="s">
        <v>3783</v>
      </c>
      <c r="K211" s="12" t="s">
        <v>62</v>
      </c>
      <c r="L211" s="12" t="s">
        <v>510</v>
      </c>
    </row>
    <row r="212" spans="1:12" ht="26.4" x14ac:dyDescent="0.3">
      <c r="A212" s="10" t="s">
        <v>3788</v>
      </c>
      <c r="B212" s="11" t="s">
        <v>20</v>
      </c>
      <c r="C212" s="11" t="s">
        <v>3789</v>
      </c>
      <c r="D212" s="11" t="s">
        <v>3780</v>
      </c>
      <c r="E212" s="11" t="s">
        <v>3790</v>
      </c>
      <c r="F212" s="11" t="s">
        <v>3791</v>
      </c>
      <c r="G212" s="12" t="s">
        <v>59</v>
      </c>
      <c r="H212" s="12" t="s">
        <v>59</v>
      </c>
      <c r="I212" s="12" t="s">
        <v>508</v>
      </c>
      <c r="J212" s="11" t="s">
        <v>3783</v>
      </c>
      <c r="K212" s="12" t="s">
        <v>62</v>
      </c>
      <c r="L212" s="12" t="s">
        <v>510</v>
      </c>
    </row>
    <row r="213" spans="1:12" ht="26.4" x14ac:dyDescent="0.3">
      <c r="A213" s="10" t="s">
        <v>3792</v>
      </c>
      <c r="B213" s="11" t="s">
        <v>20</v>
      </c>
      <c r="C213" s="11" t="s">
        <v>3793</v>
      </c>
      <c r="D213" s="11" t="s">
        <v>3780</v>
      </c>
      <c r="E213" s="11" t="s">
        <v>3794</v>
      </c>
      <c r="F213" s="11" t="s">
        <v>3791</v>
      </c>
      <c r="G213" s="12" t="s">
        <v>59</v>
      </c>
      <c r="H213" s="12" t="s">
        <v>59</v>
      </c>
      <c r="I213" s="12" t="s">
        <v>508</v>
      </c>
      <c r="J213" s="11" t="s">
        <v>3783</v>
      </c>
      <c r="K213" s="12" t="s">
        <v>62</v>
      </c>
      <c r="L213" s="12" t="s">
        <v>510</v>
      </c>
    </row>
    <row r="214" spans="1:12" ht="39.6" x14ac:dyDescent="0.3">
      <c r="A214" s="10" t="s">
        <v>3795</v>
      </c>
      <c r="B214" s="11" t="s">
        <v>20</v>
      </c>
      <c r="C214" s="11" t="s">
        <v>3796</v>
      </c>
      <c r="D214" s="11" t="s">
        <v>3797</v>
      </c>
      <c r="E214" s="11" t="s">
        <v>3798</v>
      </c>
      <c r="F214" s="11" t="s">
        <v>3799</v>
      </c>
      <c r="G214" s="12" t="s">
        <v>59</v>
      </c>
      <c r="H214" s="12" t="s">
        <v>59</v>
      </c>
      <c r="I214" s="12" t="s">
        <v>508</v>
      </c>
      <c r="J214" s="11" t="s">
        <v>3800</v>
      </c>
      <c r="K214" s="12" t="s">
        <v>62</v>
      </c>
      <c r="L214" s="12" t="s">
        <v>510</v>
      </c>
    </row>
    <row r="215" spans="1:12" ht="39.6" x14ac:dyDescent="0.3">
      <c r="A215" s="10" t="s">
        <v>3801</v>
      </c>
      <c r="B215" s="11" t="s">
        <v>20</v>
      </c>
      <c r="C215" s="11" t="s">
        <v>3802</v>
      </c>
      <c r="D215" s="11" t="s">
        <v>3797</v>
      </c>
      <c r="E215" s="11" t="s">
        <v>3798</v>
      </c>
      <c r="F215" s="11" t="s">
        <v>3799</v>
      </c>
      <c r="G215" s="12" t="s">
        <v>59</v>
      </c>
      <c r="H215" s="12" t="s">
        <v>59</v>
      </c>
      <c r="I215" s="12" t="s">
        <v>508</v>
      </c>
      <c r="J215" s="11" t="s">
        <v>3800</v>
      </c>
      <c r="K215" s="12" t="s">
        <v>62</v>
      </c>
      <c r="L215" s="12" t="s">
        <v>510</v>
      </c>
    </row>
    <row r="216" spans="1:12" ht="39.6" x14ac:dyDescent="0.3">
      <c r="A216" s="10" t="s">
        <v>3803</v>
      </c>
      <c r="B216" s="11" t="s">
        <v>20</v>
      </c>
      <c r="C216" s="11" t="s">
        <v>3804</v>
      </c>
      <c r="D216" s="11" t="s">
        <v>3797</v>
      </c>
      <c r="E216" s="11" t="s">
        <v>3798</v>
      </c>
      <c r="F216" s="11" t="s">
        <v>3805</v>
      </c>
      <c r="G216" s="12" t="s">
        <v>59</v>
      </c>
      <c r="H216" s="12" t="s">
        <v>59</v>
      </c>
      <c r="I216" s="12" t="s">
        <v>508</v>
      </c>
      <c r="J216" s="11" t="s">
        <v>3800</v>
      </c>
      <c r="K216" s="12" t="s">
        <v>62</v>
      </c>
      <c r="L216" s="12" t="s">
        <v>510</v>
      </c>
    </row>
    <row r="217" spans="1:12" ht="39.6" x14ac:dyDescent="0.3">
      <c r="A217" s="10" t="s">
        <v>3806</v>
      </c>
      <c r="B217" s="11" t="s">
        <v>20</v>
      </c>
      <c r="C217" s="11" t="s">
        <v>3807</v>
      </c>
      <c r="D217" s="11" t="s">
        <v>3797</v>
      </c>
      <c r="E217" s="11" t="s">
        <v>3798</v>
      </c>
      <c r="F217" s="11" t="s">
        <v>3808</v>
      </c>
      <c r="G217" s="12" t="s">
        <v>59</v>
      </c>
      <c r="H217" s="12" t="s">
        <v>59</v>
      </c>
      <c r="I217" s="12" t="s">
        <v>508</v>
      </c>
      <c r="J217" s="11" t="s">
        <v>3800</v>
      </c>
      <c r="K217" s="12" t="s">
        <v>62</v>
      </c>
      <c r="L217" s="12" t="s">
        <v>510</v>
      </c>
    </row>
    <row r="218" spans="1:12" ht="39.6" x14ac:dyDescent="0.3">
      <c r="A218" s="10" t="s">
        <v>3809</v>
      </c>
      <c r="B218" s="11" t="s">
        <v>20</v>
      </c>
      <c r="C218" s="11" t="s">
        <v>3810</v>
      </c>
      <c r="D218" s="11" t="s">
        <v>3797</v>
      </c>
      <c r="E218" s="11" t="s">
        <v>3798</v>
      </c>
      <c r="F218" s="11" t="s">
        <v>3799</v>
      </c>
      <c r="G218" s="12" t="s">
        <v>59</v>
      </c>
      <c r="H218" s="12" t="s">
        <v>59</v>
      </c>
      <c r="I218" s="12" t="s">
        <v>508</v>
      </c>
      <c r="J218" s="11" t="s">
        <v>3800</v>
      </c>
      <c r="K218" s="12" t="s">
        <v>62</v>
      </c>
      <c r="L218" s="12" t="s">
        <v>510</v>
      </c>
    </row>
    <row r="219" spans="1:12" ht="26.4" x14ac:dyDescent="0.3">
      <c r="A219" s="10" t="s">
        <v>3811</v>
      </c>
      <c r="B219" s="11" t="s">
        <v>20</v>
      </c>
      <c r="C219" s="11" t="s">
        <v>3812</v>
      </c>
      <c r="D219" s="11" t="s">
        <v>3813</v>
      </c>
      <c r="E219" s="11" t="s">
        <v>3814</v>
      </c>
      <c r="F219" s="11" t="s">
        <v>3815</v>
      </c>
      <c r="G219" s="12" t="s">
        <v>59</v>
      </c>
      <c r="H219" s="12" t="s">
        <v>59</v>
      </c>
      <c r="I219" s="12" t="s">
        <v>508</v>
      </c>
      <c r="J219" s="11" t="s">
        <v>3816</v>
      </c>
      <c r="K219" s="12" t="s">
        <v>62</v>
      </c>
      <c r="L219" s="12" t="s">
        <v>510</v>
      </c>
    </row>
    <row r="220" spans="1:12" ht="26.4" x14ac:dyDescent="0.3">
      <c r="A220" s="10" t="s">
        <v>3817</v>
      </c>
      <c r="B220" s="11" t="s">
        <v>20</v>
      </c>
      <c r="C220" s="11" t="s">
        <v>3818</v>
      </c>
      <c r="D220" s="11" t="s">
        <v>3813</v>
      </c>
      <c r="E220" s="11" t="s">
        <v>3819</v>
      </c>
      <c r="F220" s="11" t="s">
        <v>3820</v>
      </c>
      <c r="G220" s="12" t="s">
        <v>59</v>
      </c>
      <c r="H220" s="12" t="s">
        <v>59</v>
      </c>
      <c r="I220" s="12" t="s">
        <v>508</v>
      </c>
      <c r="J220" s="11" t="s">
        <v>3816</v>
      </c>
      <c r="K220" s="12" t="s">
        <v>62</v>
      </c>
      <c r="L220" s="12" t="s">
        <v>510</v>
      </c>
    </row>
    <row r="221" spans="1:12" ht="39.6" x14ac:dyDescent="0.3">
      <c r="A221" s="10" t="s">
        <v>3821</v>
      </c>
      <c r="B221" s="11" t="s">
        <v>20</v>
      </c>
      <c r="C221" s="11" t="s">
        <v>3822</v>
      </c>
      <c r="D221" s="11" t="s">
        <v>3823</v>
      </c>
      <c r="E221" s="11" t="s">
        <v>3824</v>
      </c>
      <c r="F221" s="11" t="s">
        <v>3825</v>
      </c>
      <c r="G221" s="12" t="s">
        <v>59</v>
      </c>
      <c r="H221" s="12" t="s">
        <v>59</v>
      </c>
      <c r="I221" s="12" t="s">
        <v>508</v>
      </c>
      <c r="J221" s="11" t="s">
        <v>3826</v>
      </c>
      <c r="K221" s="12" t="s">
        <v>62</v>
      </c>
      <c r="L221" s="12" t="s">
        <v>510</v>
      </c>
    </row>
    <row r="222" spans="1:12" ht="39.6" x14ac:dyDescent="0.3">
      <c r="A222" s="10" t="s">
        <v>3827</v>
      </c>
      <c r="B222" s="11" t="s">
        <v>20</v>
      </c>
      <c r="C222" s="11" t="s">
        <v>3828</v>
      </c>
      <c r="D222" s="11" t="s">
        <v>3823</v>
      </c>
      <c r="E222" s="11" t="s">
        <v>3824</v>
      </c>
      <c r="F222" s="11" t="s">
        <v>3825</v>
      </c>
      <c r="G222" s="12" t="s">
        <v>59</v>
      </c>
      <c r="H222" s="12" t="s">
        <v>59</v>
      </c>
      <c r="I222" s="12" t="s">
        <v>508</v>
      </c>
      <c r="J222" s="11" t="s">
        <v>3826</v>
      </c>
      <c r="K222" s="12" t="s">
        <v>62</v>
      </c>
      <c r="L222" s="12" t="s">
        <v>510</v>
      </c>
    </row>
    <row r="223" spans="1:12" ht="39.6" x14ac:dyDescent="0.3">
      <c r="A223" s="10" t="s">
        <v>3829</v>
      </c>
      <c r="B223" s="11" t="s">
        <v>20</v>
      </c>
      <c r="C223" s="11" t="s">
        <v>3830</v>
      </c>
      <c r="D223" s="11" t="s">
        <v>3823</v>
      </c>
      <c r="E223" s="11" t="s">
        <v>3824</v>
      </c>
      <c r="F223" s="11" t="s">
        <v>3831</v>
      </c>
      <c r="G223" s="12" t="s">
        <v>59</v>
      </c>
      <c r="H223" s="12" t="s">
        <v>59</v>
      </c>
      <c r="I223" s="12" t="s">
        <v>508</v>
      </c>
      <c r="J223" s="11" t="s">
        <v>3826</v>
      </c>
      <c r="K223" s="12" t="s">
        <v>62</v>
      </c>
      <c r="L223" s="12" t="s">
        <v>510</v>
      </c>
    </row>
    <row r="224" spans="1:12" ht="39.6" x14ac:dyDescent="0.3">
      <c r="A224" s="10" t="s">
        <v>3832</v>
      </c>
      <c r="B224" s="11" t="s">
        <v>20</v>
      </c>
      <c r="C224" s="11" t="s">
        <v>1012</v>
      </c>
      <c r="D224" s="11" t="s">
        <v>3823</v>
      </c>
      <c r="E224" s="11" t="s">
        <v>3824</v>
      </c>
      <c r="F224" s="11" t="s">
        <v>3831</v>
      </c>
      <c r="G224" s="12" t="s">
        <v>59</v>
      </c>
      <c r="H224" s="12" t="s">
        <v>59</v>
      </c>
      <c r="I224" s="12" t="s">
        <v>508</v>
      </c>
      <c r="J224" s="11" t="s">
        <v>3826</v>
      </c>
      <c r="K224" s="12" t="s">
        <v>62</v>
      </c>
      <c r="L224" s="12" t="s">
        <v>510</v>
      </c>
    </row>
    <row r="225" spans="1:12" ht="26.4" x14ac:dyDescent="0.3">
      <c r="A225" s="10" t="s">
        <v>3833</v>
      </c>
      <c r="B225" s="11" t="s">
        <v>20</v>
      </c>
      <c r="C225" s="11" t="s">
        <v>3834</v>
      </c>
      <c r="D225" s="11" t="s">
        <v>3835</v>
      </c>
      <c r="E225" s="11" t="s">
        <v>3836</v>
      </c>
      <c r="F225" s="11" t="s">
        <v>3837</v>
      </c>
      <c r="G225" s="12" t="s">
        <v>59</v>
      </c>
      <c r="H225" s="12" t="s">
        <v>59</v>
      </c>
      <c r="I225" s="12" t="s">
        <v>508</v>
      </c>
      <c r="J225" s="11" t="s">
        <v>3838</v>
      </c>
      <c r="K225" s="12" t="s">
        <v>62</v>
      </c>
      <c r="L225" s="12" t="s">
        <v>510</v>
      </c>
    </row>
    <row r="226" spans="1:12" ht="26.4" x14ac:dyDescent="0.3">
      <c r="A226" s="10" t="s">
        <v>3839</v>
      </c>
      <c r="B226" s="11" t="s">
        <v>20</v>
      </c>
      <c r="C226" s="11" t="s">
        <v>3840</v>
      </c>
      <c r="D226" s="11" t="s">
        <v>3835</v>
      </c>
      <c r="E226" s="11" t="s">
        <v>3841</v>
      </c>
      <c r="F226" s="11" t="s">
        <v>3837</v>
      </c>
      <c r="G226" s="12" t="s">
        <v>59</v>
      </c>
      <c r="H226" s="12" t="s">
        <v>59</v>
      </c>
      <c r="I226" s="12" t="s">
        <v>508</v>
      </c>
      <c r="J226" s="11" t="s">
        <v>3838</v>
      </c>
      <c r="K226" s="12" t="s">
        <v>62</v>
      </c>
      <c r="L226" s="12" t="s">
        <v>510</v>
      </c>
    </row>
    <row r="227" spans="1:12" ht="26.4" x14ac:dyDescent="0.3">
      <c r="A227" s="10" t="s">
        <v>3842</v>
      </c>
      <c r="B227" s="11" t="s">
        <v>20</v>
      </c>
      <c r="C227" s="11" t="s">
        <v>3843</v>
      </c>
      <c r="D227" s="11" t="s">
        <v>3835</v>
      </c>
      <c r="E227" s="11" t="s">
        <v>3844</v>
      </c>
      <c r="F227" s="11" t="s">
        <v>3837</v>
      </c>
      <c r="G227" s="12" t="s">
        <v>59</v>
      </c>
      <c r="H227" s="12" t="s">
        <v>59</v>
      </c>
      <c r="I227" s="12" t="s">
        <v>508</v>
      </c>
      <c r="J227" s="11" t="s">
        <v>3838</v>
      </c>
      <c r="K227" s="12" t="s">
        <v>62</v>
      </c>
      <c r="L227" s="12" t="s">
        <v>510</v>
      </c>
    </row>
    <row r="228" spans="1:12" ht="39.6" x14ac:dyDescent="0.3">
      <c r="A228" s="10" t="s">
        <v>3845</v>
      </c>
      <c r="B228" s="11" t="s">
        <v>20</v>
      </c>
      <c r="C228" s="11" t="s">
        <v>3846</v>
      </c>
      <c r="D228" s="11" t="s">
        <v>3847</v>
      </c>
      <c r="E228" s="11" t="s">
        <v>3848</v>
      </c>
      <c r="F228" s="11" t="s">
        <v>3721</v>
      </c>
      <c r="G228" s="12" t="s">
        <v>59</v>
      </c>
      <c r="H228" s="12" t="s">
        <v>59</v>
      </c>
      <c r="I228" s="12" t="s">
        <v>508</v>
      </c>
      <c r="J228" s="11" t="s">
        <v>3849</v>
      </c>
      <c r="K228" s="12" t="s">
        <v>62</v>
      </c>
      <c r="L228" s="12" t="s">
        <v>510</v>
      </c>
    </row>
    <row r="229" spans="1:12" ht="39.6" x14ac:dyDescent="0.3">
      <c r="A229" s="10" t="s">
        <v>3850</v>
      </c>
      <c r="B229" s="11" t="s">
        <v>20</v>
      </c>
      <c r="C229" s="11" t="s">
        <v>3851</v>
      </c>
      <c r="D229" s="11" t="s">
        <v>3847</v>
      </c>
      <c r="E229" s="11" t="s">
        <v>3852</v>
      </c>
      <c r="F229" s="11" t="s">
        <v>3721</v>
      </c>
      <c r="G229" s="12" t="s">
        <v>59</v>
      </c>
      <c r="H229" s="12" t="s">
        <v>59</v>
      </c>
      <c r="I229" s="12" t="s">
        <v>508</v>
      </c>
      <c r="J229" s="11" t="s">
        <v>3849</v>
      </c>
      <c r="K229" s="12" t="s">
        <v>62</v>
      </c>
      <c r="L229" s="12" t="s">
        <v>510</v>
      </c>
    </row>
    <row r="230" spans="1:12" ht="39.6" x14ac:dyDescent="0.3">
      <c r="A230" s="10" t="s">
        <v>3853</v>
      </c>
      <c r="B230" s="11" t="s">
        <v>20</v>
      </c>
      <c r="C230" s="11" t="s">
        <v>3854</v>
      </c>
      <c r="D230" s="11" t="s">
        <v>3847</v>
      </c>
      <c r="E230" s="11" t="s">
        <v>3855</v>
      </c>
      <c r="F230" s="11" t="s">
        <v>3721</v>
      </c>
      <c r="G230" s="12" t="s">
        <v>59</v>
      </c>
      <c r="H230" s="12" t="s">
        <v>59</v>
      </c>
      <c r="I230" s="12" t="s">
        <v>508</v>
      </c>
      <c r="J230" s="11" t="s">
        <v>3849</v>
      </c>
      <c r="K230" s="12" t="s">
        <v>62</v>
      </c>
      <c r="L230" s="12" t="s">
        <v>510</v>
      </c>
    </row>
    <row r="231" spans="1:12" ht="39.6" x14ac:dyDescent="0.3">
      <c r="A231" s="10" t="s">
        <v>3856</v>
      </c>
      <c r="B231" s="11" t="s">
        <v>20</v>
      </c>
      <c r="C231" s="11" t="s">
        <v>3857</v>
      </c>
      <c r="D231" s="11" t="s">
        <v>3847</v>
      </c>
      <c r="E231" s="11" t="s">
        <v>3858</v>
      </c>
      <c r="F231" s="11" t="s">
        <v>3715</v>
      </c>
      <c r="G231" s="12" t="s">
        <v>59</v>
      </c>
      <c r="H231" s="12" t="s">
        <v>59</v>
      </c>
      <c r="I231" s="12" t="s">
        <v>508</v>
      </c>
      <c r="J231" s="11" t="s">
        <v>3849</v>
      </c>
      <c r="K231" s="12" t="s">
        <v>62</v>
      </c>
      <c r="L231" s="12" t="s">
        <v>510</v>
      </c>
    </row>
    <row r="232" spans="1:12" ht="39.6" x14ac:dyDescent="0.3">
      <c r="A232" s="10" t="s">
        <v>3859</v>
      </c>
      <c r="B232" s="11" t="s">
        <v>20</v>
      </c>
      <c r="C232" s="11" t="s">
        <v>3860</v>
      </c>
      <c r="D232" s="11" t="s">
        <v>3847</v>
      </c>
      <c r="E232" s="11" t="s">
        <v>3861</v>
      </c>
      <c r="F232" s="11" t="s">
        <v>3715</v>
      </c>
      <c r="G232" s="12" t="s">
        <v>59</v>
      </c>
      <c r="H232" s="12" t="s">
        <v>59</v>
      </c>
      <c r="I232" s="12" t="s">
        <v>508</v>
      </c>
      <c r="J232" s="11" t="s">
        <v>3849</v>
      </c>
      <c r="K232" s="12" t="s">
        <v>62</v>
      </c>
      <c r="L232" s="12" t="s">
        <v>510</v>
      </c>
    </row>
    <row r="233" spans="1:12" ht="26.4" x14ac:dyDescent="0.3">
      <c r="A233" s="10" t="s">
        <v>3862</v>
      </c>
      <c r="B233" s="11" t="s">
        <v>20</v>
      </c>
      <c r="C233" s="11" t="s">
        <v>3863</v>
      </c>
      <c r="D233" s="11" t="s">
        <v>3864</v>
      </c>
      <c r="E233" s="11" t="s">
        <v>3865</v>
      </c>
      <c r="F233" s="11" t="s">
        <v>3866</v>
      </c>
      <c r="G233" s="12" t="s">
        <v>59</v>
      </c>
      <c r="H233" s="12" t="s">
        <v>59</v>
      </c>
      <c r="I233" s="12" t="s">
        <v>508</v>
      </c>
      <c r="J233" s="11" t="s">
        <v>3867</v>
      </c>
      <c r="K233" s="12" t="s">
        <v>62</v>
      </c>
      <c r="L233" s="12" t="s">
        <v>510</v>
      </c>
    </row>
    <row r="234" spans="1:12" ht="26.4" x14ac:dyDescent="0.3">
      <c r="A234" s="10" t="s">
        <v>3868</v>
      </c>
      <c r="B234" s="11" t="s">
        <v>20</v>
      </c>
      <c r="C234" s="11" t="s">
        <v>3869</v>
      </c>
      <c r="D234" s="11" t="s">
        <v>3864</v>
      </c>
      <c r="E234" s="11" t="s">
        <v>3870</v>
      </c>
      <c r="F234" s="11" t="s">
        <v>3866</v>
      </c>
      <c r="G234" s="12" t="s">
        <v>1513</v>
      </c>
      <c r="H234" s="12" t="s">
        <v>59</v>
      </c>
      <c r="I234" s="12" t="s">
        <v>508</v>
      </c>
      <c r="J234" s="11" t="s">
        <v>3867</v>
      </c>
      <c r="K234" s="12" t="s">
        <v>62</v>
      </c>
      <c r="L234" s="12" t="s">
        <v>510</v>
      </c>
    </row>
    <row r="235" spans="1:12" ht="26.4" x14ac:dyDescent="0.3">
      <c r="A235" s="10" t="s">
        <v>3871</v>
      </c>
      <c r="B235" s="11" t="s">
        <v>20</v>
      </c>
      <c r="C235" s="11" t="s">
        <v>3872</v>
      </c>
      <c r="D235" s="11" t="s">
        <v>3864</v>
      </c>
      <c r="E235" s="11" t="s">
        <v>3873</v>
      </c>
      <c r="F235" s="11" t="s">
        <v>3874</v>
      </c>
      <c r="G235" s="12" t="s">
        <v>59</v>
      </c>
      <c r="H235" s="12" t="s">
        <v>59</v>
      </c>
      <c r="I235" s="12" t="s">
        <v>508</v>
      </c>
      <c r="J235" s="11" t="s">
        <v>3867</v>
      </c>
      <c r="K235" s="12" t="s">
        <v>62</v>
      </c>
      <c r="L235" s="12" t="s">
        <v>510</v>
      </c>
    </row>
    <row r="236" spans="1:12" ht="26.4" x14ac:dyDescent="0.3">
      <c r="A236" s="10" t="s">
        <v>3875</v>
      </c>
      <c r="B236" s="11" t="s">
        <v>20</v>
      </c>
      <c r="C236" s="11" t="s">
        <v>3876</v>
      </c>
      <c r="D236" s="11" t="s">
        <v>3864</v>
      </c>
      <c r="E236" s="11" t="s">
        <v>3877</v>
      </c>
      <c r="F236" s="11" t="s">
        <v>3878</v>
      </c>
      <c r="G236" s="12" t="s">
        <v>59</v>
      </c>
      <c r="H236" s="12" t="s">
        <v>59</v>
      </c>
      <c r="I236" s="12" t="s">
        <v>508</v>
      </c>
      <c r="J236" s="11" t="s">
        <v>3867</v>
      </c>
      <c r="K236" s="12" t="s">
        <v>62</v>
      </c>
      <c r="L236" s="12" t="s">
        <v>510</v>
      </c>
    </row>
    <row r="237" spans="1:12" ht="26.4" x14ac:dyDescent="0.3">
      <c r="A237" s="10" t="s">
        <v>3879</v>
      </c>
      <c r="B237" s="11" t="s">
        <v>20</v>
      </c>
      <c r="C237" s="11" t="s">
        <v>3880</v>
      </c>
      <c r="D237" s="11" t="s">
        <v>3864</v>
      </c>
      <c r="E237" s="11" t="s">
        <v>3881</v>
      </c>
      <c r="F237" s="11" t="s">
        <v>3878</v>
      </c>
      <c r="G237" s="12" t="s">
        <v>59</v>
      </c>
      <c r="H237" s="12" t="s">
        <v>59</v>
      </c>
      <c r="I237" s="12" t="s">
        <v>508</v>
      </c>
      <c r="J237" s="11" t="s">
        <v>3867</v>
      </c>
      <c r="K237" s="12" t="s">
        <v>62</v>
      </c>
      <c r="L237" s="12" t="s">
        <v>510</v>
      </c>
    </row>
    <row r="238" spans="1:12" ht="26.4" x14ac:dyDescent="0.3">
      <c r="A238" s="10" t="s">
        <v>3882</v>
      </c>
      <c r="B238" s="11" t="s">
        <v>20</v>
      </c>
      <c r="C238" s="11" t="s">
        <v>3883</v>
      </c>
      <c r="D238" s="11" t="s">
        <v>3864</v>
      </c>
      <c r="E238" s="11" t="s">
        <v>3884</v>
      </c>
      <c r="F238" s="11" t="s">
        <v>3878</v>
      </c>
      <c r="G238" s="12" t="s">
        <v>59</v>
      </c>
      <c r="H238" s="12" t="s">
        <v>59</v>
      </c>
      <c r="I238" s="12" t="s">
        <v>508</v>
      </c>
      <c r="J238" s="11" t="s">
        <v>3867</v>
      </c>
      <c r="K238" s="12" t="s">
        <v>62</v>
      </c>
      <c r="L238" s="12" t="s">
        <v>510</v>
      </c>
    </row>
    <row r="239" spans="1:12" ht="26.4" x14ac:dyDescent="0.3">
      <c r="A239" s="10" t="s">
        <v>3885</v>
      </c>
      <c r="B239" s="11" t="s">
        <v>20</v>
      </c>
      <c r="C239" s="11" t="s">
        <v>3886</v>
      </c>
      <c r="D239" s="11" t="s">
        <v>3864</v>
      </c>
      <c r="E239" s="11" t="s">
        <v>3887</v>
      </c>
      <c r="F239" s="11" t="s">
        <v>3888</v>
      </c>
      <c r="G239" s="12" t="s">
        <v>59</v>
      </c>
      <c r="H239" s="12" t="s">
        <v>59</v>
      </c>
      <c r="I239" s="12" t="s">
        <v>508</v>
      </c>
      <c r="J239" s="11" t="s">
        <v>3867</v>
      </c>
      <c r="K239" s="12" t="s">
        <v>62</v>
      </c>
      <c r="L239" s="12" t="s">
        <v>510</v>
      </c>
    </row>
    <row r="240" spans="1:12" ht="26.4" x14ac:dyDescent="0.3">
      <c r="A240" s="10" t="s">
        <v>3889</v>
      </c>
      <c r="B240" s="11" t="s">
        <v>20</v>
      </c>
      <c r="C240" s="11" t="s">
        <v>3890</v>
      </c>
      <c r="D240" s="11" t="s">
        <v>3864</v>
      </c>
      <c r="E240" s="11" t="s">
        <v>3891</v>
      </c>
      <c r="F240" s="11" t="s">
        <v>3892</v>
      </c>
      <c r="G240" s="12" t="s">
        <v>59</v>
      </c>
      <c r="H240" s="12" t="s">
        <v>59</v>
      </c>
      <c r="I240" s="12" t="s">
        <v>508</v>
      </c>
      <c r="J240" s="11" t="s">
        <v>3867</v>
      </c>
      <c r="K240" s="12" t="s">
        <v>62</v>
      </c>
      <c r="L240" s="12" t="s">
        <v>510</v>
      </c>
    </row>
    <row r="241" spans="1:12" ht="26.4" x14ac:dyDescent="0.3">
      <c r="A241" s="10" t="s">
        <v>3893</v>
      </c>
      <c r="B241" s="11" t="s">
        <v>21</v>
      </c>
      <c r="C241" s="11" t="s">
        <v>3894</v>
      </c>
      <c r="D241" s="11" t="s">
        <v>3895</v>
      </c>
      <c r="E241" s="11" t="s">
        <v>334</v>
      </c>
      <c r="F241" s="11" t="s">
        <v>3896</v>
      </c>
      <c r="G241" s="12" t="s">
        <v>59</v>
      </c>
      <c r="H241" s="12" t="s">
        <v>59</v>
      </c>
      <c r="I241" s="12" t="s">
        <v>60</v>
      </c>
      <c r="J241" s="11" t="s">
        <v>3897</v>
      </c>
      <c r="K241" s="12" t="s">
        <v>62</v>
      </c>
      <c r="L241" s="12" t="s">
        <v>63</v>
      </c>
    </row>
    <row r="242" spans="1:12" ht="26.4" x14ac:dyDescent="0.3">
      <c r="A242" s="10" t="s">
        <v>3898</v>
      </c>
      <c r="B242" s="11" t="s">
        <v>21</v>
      </c>
      <c r="C242" s="11" t="s">
        <v>3899</v>
      </c>
      <c r="D242" s="11" t="s">
        <v>3900</v>
      </c>
      <c r="E242" s="11" t="s">
        <v>350</v>
      </c>
      <c r="F242" s="11" t="s">
        <v>3901</v>
      </c>
      <c r="G242" s="12" t="s">
        <v>59</v>
      </c>
      <c r="H242" s="12" t="s">
        <v>59</v>
      </c>
      <c r="I242" s="12" t="s">
        <v>60</v>
      </c>
      <c r="J242" s="11" t="s">
        <v>3902</v>
      </c>
      <c r="K242" s="12" t="s">
        <v>62</v>
      </c>
      <c r="L242" s="12" t="s">
        <v>63</v>
      </c>
    </row>
    <row r="243" spans="1:12" ht="26.4" x14ac:dyDescent="0.3">
      <c r="A243" s="10" t="s">
        <v>3903</v>
      </c>
      <c r="B243" s="11" t="s">
        <v>21</v>
      </c>
      <c r="C243" s="11" t="s">
        <v>3904</v>
      </c>
      <c r="D243" s="11" t="s">
        <v>3905</v>
      </c>
      <c r="E243" s="11" t="s">
        <v>334</v>
      </c>
      <c r="F243" s="11" t="s">
        <v>3906</v>
      </c>
      <c r="G243" s="12" t="s">
        <v>59</v>
      </c>
      <c r="H243" s="12" t="s">
        <v>59</v>
      </c>
      <c r="I243" s="12" t="s">
        <v>60</v>
      </c>
      <c r="J243" s="11" t="s">
        <v>3907</v>
      </c>
      <c r="K243" s="12" t="s">
        <v>62</v>
      </c>
      <c r="L243" s="12" t="s">
        <v>63</v>
      </c>
    </row>
    <row r="244" spans="1:12" ht="26.4" x14ac:dyDescent="0.3">
      <c r="A244" s="10" t="s">
        <v>3908</v>
      </c>
      <c r="B244" s="11" t="s">
        <v>21</v>
      </c>
      <c r="C244" s="11" t="s">
        <v>3909</v>
      </c>
      <c r="D244" s="11" t="s">
        <v>3910</v>
      </c>
      <c r="E244" s="11" t="s">
        <v>310</v>
      </c>
      <c r="F244" s="11" t="s">
        <v>3911</v>
      </c>
      <c r="G244" s="12" t="s">
        <v>59</v>
      </c>
      <c r="H244" s="12" t="s">
        <v>59</v>
      </c>
      <c r="I244" s="12" t="s">
        <v>60</v>
      </c>
      <c r="J244" s="11" t="s">
        <v>3912</v>
      </c>
      <c r="K244" s="12" t="s">
        <v>62</v>
      </c>
      <c r="L244" s="12" t="s">
        <v>63</v>
      </c>
    </row>
    <row r="245" spans="1:12" ht="26.4" x14ac:dyDescent="0.3">
      <c r="A245" s="10" t="s">
        <v>3913</v>
      </c>
      <c r="B245" s="11" t="s">
        <v>21</v>
      </c>
      <c r="C245" s="11" t="s">
        <v>3914</v>
      </c>
      <c r="D245" s="11" t="s">
        <v>3915</v>
      </c>
      <c r="E245" s="11" t="s">
        <v>3916</v>
      </c>
      <c r="F245" s="11" t="s">
        <v>3917</v>
      </c>
      <c r="G245" s="12" t="s">
        <v>59</v>
      </c>
      <c r="H245" s="12" t="s">
        <v>59</v>
      </c>
      <c r="I245" s="12" t="s">
        <v>60</v>
      </c>
      <c r="J245" s="11" t="s">
        <v>3918</v>
      </c>
      <c r="K245" s="12" t="s">
        <v>62</v>
      </c>
      <c r="L245" s="12" t="s">
        <v>63</v>
      </c>
    </row>
    <row r="246" spans="1:12" ht="26.4" x14ac:dyDescent="0.3">
      <c r="A246" s="10" t="s">
        <v>3919</v>
      </c>
      <c r="B246" s="11" t="s">
        <v>21</v>
      </c>
      <c r="C246" s="11" t="s">
        <v>3920</v>
      </c>
      <c r="D246" s="11" t="s">
        <v>3921</v>
      </c>
      <c r="E246" s="11" t="s">
        <v>334</v>
      </c>
      <c r="F246" s="11" t="s">
        <v>3922</v>
      </c>
      <c r="G246" s="12" t="s">
        <v>59</v>
      </c>
      <c r="H246" s="12" t="s">
        <v>59</v>
      </c>
      <c r="I246" s="12" t="s">
        <v>60</v>
      </c>
      <c r="J246" s="11" t="s">
        <v>3923</v>
      </c>
      <c r="K246" s="12" t="s">
        <v>62</v>
      </c>
      <c r="L246" s="12" t="s">
        <v>63</v>
      </c>
    </row>
    <row r="247" spans="1:12" ht="26.4" x14ac:dyDescent="0.3">
      <c r="A247" s="10" t="s">
        <v>3924</v>
      </c>
      <c r="B247" s="11" t="s">
        <v>21</v>
      </c>
      <c r="C247" s="11" t="s">
        <v>3925</v>
      </c>
      <c r="D247" s="11" t="s">
        <v>3926</v>
      </c>
      <c r="E247" s="11" t="s">
        <v>121</v>
      </c>
      <c r="F247" s="11" t="s">
        <v>3927</v>
      </c>
      <c r="G247" s="12" t="s">
        <v>59</v>
      </c>
      <c r="H247" s="12" t="s">
        <v>59</v>
      </c>
      <c r="I247" s="12" t="s">
        <v>60</v>
      </c>
      <c r="J247" s="11" t="s">
        <v>3928</v>
      </c>
      <c r="K247" s="12" t="s">
        <v>62</v>
      </c>
      <c r="L247" s="12" t="s">
        <v>63</v>
      </c>
    </row>
    <row r="248" spans="1:12" ht="26.4" x14ac:dyDescent="0.3">
      <c r="A248" s="10" t="s">
        <v>3929</v>
      </c>
      <c r="B248" s="11" t="s">
        <v>21</v>
      </c>
      <c r="C248" s="11" t="s">
        <v>3930</v>
      </c>
      <c r="D248" s="11" t="s">
        <v>3931</v>
      </c>
      <c r="E248" s="11" t="s">
        <v>3932</v>
      </c>
      <c r="F248" s="11" t="s">
        <v>3933</v>
      </c>
      <c r="G248" s="12" t="s">
        <v>59</v>
      </c>
      <c r="H248" s="12" t="s">
        <v>59</v>
      </c>
      <c r="I248" s="12" t="s">
        <v>60</v>
      </c>
      <c r="J248" s="11" t="s">
        <v>3934</v>
      </c>
      <c r="K248" s="12" t="s">
        <v>62</v>
      </c>
      <c r="L248" s="12" t="s">
        <v>63</v>
      </c>
    </row>
    <row r="249" spans="1:12" ht="26.4" x14ac:dyDescent="0.3">
      <c r="A249" s="10" t="s">
        <v>3935</v>
      </c>
      <c r="B249" s="11" t="s">
        <v>21</v>
      </c>
      <c r="C249" s="11" t="s">
        <v>3936</v>
      </c>
      <c r="D249" s="11" t="s">
        <v>3937</v>
      </c>
      <c r="E249" s="11" t="s">
        <v>121</v>
      </c>
      <c r="F249" s="11" t="s">
        <v>3927</v>
      </c>
      <c r="G249" s="12" t="s">
        <v>59</v>
      </c>
      <c r="H249" s="12" t="s">
        <v>59</v>
      </c>
      <c r="I249" s="12" t="s">
        <v>60</v>
      </c>
      <c r="J249" s="11" t="s">
        <v>3938</v>
      </c>
      <c r="K249" s="12" t="s">
        <v>62</v>
      </c>
      <c r="L249" s="12" t="s">
        <v>63</v>
      </c>
    </row>
    <row r="250" spans="1:12" ht="26.4" x14ac:dyDescent="0.3">
      <c r="A250" s="10" t="s">
        <v>3939</v>
      </c>
      <c r="B250" s="11" t="s">
        <v>21</v>
      </c>
      <c r="C250" s="11" t="s">
        <v>3940</v>
      </c>
      <c r="D250" s="11" t="s">
        <v>3941</v>
      </c>
      <c r="E250" s="11" t="s">
        <v>127</v>
      </c>
      <c r="F250" s="11" t="s">
        <v>3942</v>
      </c>
      <c r="G250" s="12" t="s">
        <v>59</v>
      </c>
      <c r="H250" s="12" t="s">
        <v>59</v>
      </c>
      <c r="I250" s="12" t="s">
        <v>60</v>
      </c>
      <c r="J250" s="11" t="s">
        <v>3943</v>
      </c>
      <c r="K250" s="12" t="s">
        <v>62</v>
      </c>
      <c r="L250" s="12" t="s">
        <v>63</v>
      </c>
    </row>
    <row r="251" spans="1:12" ht="26.4" x14ac:dyDescent="0.3">
      <c r="A251" s="10" t="s">
        <v>3944</v>
      </c>
      <c r="B251" s="11" t="s">
        <v>21</v>
      </c>
      <c r="C251" s="11" t="s">
        <v>3945</v>
      </c>
      <c r="D251" s="11" t="s">
        <v>3946</v>
      </c>
      <c r="E251" s="11" t="s">
        <v>3947</v>
      </c>
      <c r="F251" s="11" t="s">
        <v>3948</v>
      </c>
      <c r="G251" s="12" t="s">
        <v>59</v>
      </c>
      <c r="H251" s="12" t="s">
        <v>59</v>
      </c>
      <c r="I251" s="12" t="s">
        <v>508</v>
      </c>
      <c r="J251" s="11" t="s">
        <v>3949</v>
      </c>
      <c r="K251" s="12" t="s">
        <v>62</v>
      </c>
      <c r="L251" s="12" t="s">
        <v>510</v>
      </c>
    </row>
    <row r="252" spans="1:12" ht="26.4" x14ac:dyDescent="0.3">
      <c r="A252" s="10" t="s">
        <v>3950</v>
      </c>
      <c r="B252" s="11" t="s">
        <v>21</v>
      </c>
      <c r="C252" s="11" t="s">
        <v>3951</v>
      </c>
      <c r="D252" s="11" t="s">
        <v>3946</v>
      </c>
      <c r="E252" s="11" t="s">
        <v>3952</v>
      </c>
      <c r="F252" s="11" t="s">
        <v>3948</v>
      </c>
      <c r="G252" s="12" t="s">
        <v>59</v>
      </c>
      <c r="H252" s="12" t="s">
        <v>59</v>
      </c>
      <c r="I252" s="12" t="s">
        <v>508</v>
      </c>
      <c r="J252" s="11" t="s">
        <v>3949</v>
      </c>
      <c r="K252" s="12" t="s">
        <v>62</v>
      </c>
      <c r="L252" s="12" t="s">
        <v>510</v>
      </c>
    </row>
    <row r="253" spans="1:12" ht="39.6" x14ac:dyDescent="0.3">
      <c r="A253" s="10" t="s">
        <v>3953</v>
      </c>
      <c r="B253" s="11" t="s">
        <v>21</v>
      </c>
      <c r="C253" s="11" t="s">
        <v>3954</v>
      </c>
      <c r="D253" s="11" t="s">
        <v>3955</v>
      </c>
      <c r="E253" s="11" t="s">
        <v>3956</v>
      </c>
      <c r="F253" s="11" t="s">
        <v>3957</v>
      </c>
      <c r="G253" s="12" t="s">
        <v>59</v>
      </c>
      <c r="H253" s="12" t="s">
        <v>59</v>
      </c>
      <c r="I253" s="12" t="s">
        <v>508</v>
      </c>
      <c r="J253" s="11" t="s">
        <v>3958</v>
      </c>
      <c r="K253" s="12" t="s">
        <v>62</v>
      </c>
      <c r="L253" s="12" t="s">
        <v>510</v>
      </c>
    </row>
    <row r="254" spans="1:12" ht="39.6" x14ac:dyDescent="0.3">
      <c r="A254" s="10" t="s">
        <v>3959</v>
      </c>
      <c r="B254" s="11" t="s">
        <v>21</v>
      </c>
      <c r="C254" s="11" t="s">
        <v>3960</v>
      </c>
      <c r="D254" s="11" t="s">
        <v>3955</v>
      </c>
      <c r="E254" s="11" t="s">
        <v>3961</v>
      </c>
      <c r="F254" s="11" t="s">
        <v>3962</v>
      </c>
      <c r="G254" s="12" t="s">
        <v>59</v>
      </c>
      <c r="H254" s="12" t="s">
        <v>59</v>
      </c>
      <c r="I254" s="12" t="s">
        <v>508</v>
      </c>
      <c r="J254" s="11" t="s">
        <v>3958</v>
      </c>
      <c r="K254" s="12" t="s">
        <v>62</v>
      </c>
      <c r="L254" s="12" t="s">
        <v>510</v>
      </c>
    </row>
    <row r="255" spans="1:12" ht="39.6" x14ac:dyDescent="0.3">
      <c r="A255" s="10" t="s">
        <v>3963</v>
      </c>
      <c r="B255" s="11" t="s">
        <v>21</v>
      </c>
      <c r="C255" s="11" t="s">
        <v>3964</v>
      </c>
      <c r="D255" s="11" t="s">
        <v>3955</v>
      </c>
      <c r="E255" s="11" t="s">
        <v>3965</v>
      </c>
      <c r="F255" s="11" t="s">
        <v>3966</v>
      </c>
      <c r="G255" s="12" t="s">
        <v>59</v>
      </c>
      <c r="H255" s="12" t="s">
        <v>59</v>
      </c>
      <c r="I255" s="12" t="s">
        <v>508</v>
      </c>
      <c r="J255" s="11" t="s">
        <v>3958</v>
      </c>
      <c r="K255" s="12" t="s">
        <v>62</v>
      </c>
      <c r="L255" s="12" t="s">
        <v>510</v>
      </c>
    </row>
    <row r="256" spans="1:12" ht="26.4" x14ac:dyDescent="0.3">
      <c r="A256" s="10" t="s">
        <v>3967</v>
      </c>
      <c r="B256" s="11" t="s">
        <v>21</v>
      </c>
      <c r="C256" s="11" t="s">
        <v>3968</v>
      </c>
      <c r="D256" s="11" t="s">
        <v>3969</v>
      </c>
      <c r="E256" s="11" t="s">
        <v>3970</v>
      </c>
      <c r="F256" s="11" t="s">
        <v>3971</v>
      </c>
      <c r="G256" s="12" t="s">
        <v>59</v>
      </c>
      <c r="H256" s="12" t="s">
        <v>59</v>
      </c>
      <c r="I256" s="12" t="s">
        <v>508</v>
      </c>
      <c r="J256" s="11" t="s">
        <v>3972</v>
      </c>
      <c r="K256" s="12" t="s">
        <v>62</v>
      </c>
      <c r="L256" s="12" t="s">
        <v>510</v>
      </c>
    </row>
    <row r="257" spans="1:12" ht="26.4" x14ac:dyDescent="0.3">
      <c r="A257" s="10" t="s">
        <v>3973</v>
      </c>
      <c r="B257" s="11" t="s">
        <v>21</v>
      </c>
      <c r="C257" s="11" t="s">
        <v>3974</v>
      </c>
      <c r="D257" s="11" t="s">
        <v>3969</v>
      </c>
      <c r="E257" s="11" t="s">
        <v>3975</v>
      </c>
      <c r="F257" s="11" t="s">
        <v>3971</v>
      </c>
      <c r="G257" s="12" t="s">
        <v>59</v>
      </c>
      <c r="H257" s="12" t="s">
        <v>59</v>
      </c>
      <c r="I257" s="12" t="s">
        <v>508</v>
      </c>
      <c r="J257" s="11" t="s">
        <v>3972</v>
      </c>
      <c r="K257" s="12" t="s">
        <v>62</v>
      </c>
      <c r="L257" s="12" t="s">
        <v>510</v>
      </c>
    </row>
    <row r="258" spans="1:12" ht="26.4" x14ac:dyDescent="0.3">
      <c r="A258" s="10" t="s">
        <v>3976</v>
      </c>
      <c r="B258" s="11" t="s">
        <v>21</v>
      </c>
      <c r="C258" s="11" t="s">
        <v>3977</v>
      </c>
      <c r="D258" s="11" t="s">
        <v>3969</v>
      </c>
      <c r="E258" s="11" t="s">
        <v>3978</v>
      </c>
      <c r="F258" s="11" t="s">
        <v>3971</v>
      </c>
      <c r="G258" s="12" t="s">
        <v>59</v>
      </c>
      <c r="H258" s="12" t="s">
        <v>59</v>
      </c>
      <c r="I258" s="12" t="s">
        <v>508</v>
      </c>
      <c r="J258" s="11" t="s">
        <v>3972</v>
      </c>
      <c r="K258" s="12" t="s">
        <v>62</v>
      </c>
      <c r="L258" s="12" t="s">
        <v>510</v>
      </c>
    </row>
    <row r="259" spans="1:12" ht="26.4" x14ac:dyDescent="0.3">
      <c r="A259" s="10" t="s">
        <v>3979</v>
      </c>
      <c r="B259" s="11" t="s">
        <v>21</v>
      </c>
      <c r="C259" s="11" t="s">
        <v>3980</v>
      </c>
      <c r="D259" s="11" t="s">
        <v>3969</v>
      </c>
      <c r="E259" s="11" t="s">
        <v>3981</v>
      </c>
      <c r="F259" s="11" t="s">
        <v>3971</v>
      </c>
      <c r="G259" s="12" t="s">
        <v>59</v>
      </c>
      <c r="H259" s="12" t="s">
        <v>59</v>
      </c>
      <c r="I259" s="12" t="s">
        <v>508</v>
      </c>
      <c r="J259" s="11" t="s">
        <v>3972</v>
      </c>
      <c r="K259" s="12" t="s">
        <v>62</v>
      </c>
      <c r="L259" s="12" t="s">
        <v>510</v>
      </c>
    </row>
    <row r="260" spans="1:12" ht="26.4" x14ac:dyDescent="0.3">
      <c r="A260" s="10" t="s">
        <v>3982</v>
      </c>
      <c r="B260" s="11" t="s">
        <v>21</v>
      </c>
      <c r="C260" s="11" t="s">
        <v>3983</v>
      </c>
      <c r="D260" s="11" t="s">
        <v>3984</v>
      </c>
      <c r="E260" s="11" t="s">
        <v>3985</v>
      </c>
      <c r="F260" s="11" t="s">
        <v>3986</v>
      </c>
      <c r="G260" s="12" t="s">
        <v>59</v>
      </c>
      <c r="H260" s="12" t="s">
        <v>59</v>
      </c>
      <c r="I260" s="12" t="s">
        <v>508</v>
      </c>
      <c r="J260" s="11" t="s">
        <v>3987</v>
      </c>
      <c r="K260" s="12" t="s">
        <v>62</v>
      </c>
      <c r="L260" s="12" t="s">
        <v>510</v>
      </c>
    </row>
    <row r="261" spans="1:12" ht="26.4" x14ac:dyDescent="0.3">
      <c r="A261" s="10" t="s">
        <v>3988</v>
      </c>
      <c r="B261" s="11" t="s">
        <v>21</v>
      </c>
      <c r="C261" s="11" t="s">
        <v>3989</v>
      </c>
      <c r="D261" s="11" t="s">
        <v>3984</v>
      </c>
      <c r="E261" s="11" t="s">
        <v>3990</v>
      </c>
      <c r="F261" s="11" t="s">
        <v>3991</v>
      </c>
      <c r="G261" s="12" t="s">
        <v>59</v>
      </c>
      <c r="H261" s="12" t="s">
        <v>59</v>
      </c>
      <c r="I261" s="12" t="s">
        <v>508</v>
      </c>
      <c r="J261" s="11" t="s">
        <v>3987</v>
      </c>
      <c r="K261" s="12" t="s">
        <v>62</v>
      </c>
      <c r="L261" s="12" t="s">
        <v>510</v>
      </c>
    </row>
    <row r="262" spans="1:12" ht="26.4" x14ac:dyDescent="0.3">
      <c r="A262" s="10" t="s">
        <v>3992</v>
      </c>
      <c r="B262" s="11" t="s">
        <v>21</v>
      </c>
      <c r="C262" s="11" t="s">
        <v>3993</v>
      </c>
      <c r="D262" s="11" t="s">
        <v>3984</v>
      </c>
      <c r="E262" s="11" t="s">
        <v>3994</v>
      </c>
      <c r="F262" s="11" t="s">
        <v>3991</v>
      </c>
      <c r="G262" s="12" t="s">
        <v>59</v>
      </c>
      <c r="H262" s="12" t="s">
        <v>59</v>
      </c>
      <c r="I262" s="12" t="s">
        <v>508</v>
      </c>
      <c r="J262" s="11" t="s">
        <v>3987</v>
      </c>
      <c r="K262" s="12" t="s">
        <v>62</v>
      </c>
      <c r="L262" s="12" t="s">
        <v>510</v>
      </c>
    </row>
    <row r="263" spans="1:12" ht="26.4" x14ac:dyDescent="0.3">
      <c r="A263" s="10" t="s">
        <v>3995</v>
      </c>
      <c r="B263" s="11" t="s">
        <v>21</v>
      </c>
      <c r="C263" s="11" t="s">
        <v>3996</v>
      </c>
      <c r="D263" s="11" t="s">
        <v>3984</v>
      </c>
      <c r="E263" s="11" t="s">
        <v>3997</v>
      </c>
      <c r="F263" s="11" t="s">
        <v>3991</v>
      </c>
      <c r="G263" s="12" t="s">
        <v>59</v>
      </c>
      <c r="H263" s="12" t="s">
        <v>59</v>
      </c>
      <c r="I263" s="12" t="s">
        <v>508</v>
      </c>
      <c r="J263" s="11" t="s">
        <v>3987</v>
      </c>
      <c r="K263" s="12" t="s">
        <v>62</v>
      </c>
      <c r="L263" s="12" t="s">
        <v>510</v>
      </c>
    </row>
    <row r="264" spans="1:12" ht="26.4" x14ac:dyDescent="0.3">
      <c r="A264" s="10" t="s">
        <v>3998</v>
      </c>
      <c r="B264" s="11" t="s">
        <v>21</v>
      </c>
      <c r="C264" s="11" t="s">
        <v>3999</v>
      </c>
      <c r="D264" s="11" t="s">
        <v>3984</v>
      </c>
      <c r="E264" s="11" t="s">
        <v>4000</v>
      </c>
      <c r="F264" s="11" t="s">
        <v>3991</v>
      </c>
      <c r="G264" s="12" t="s">
        <v>59</v>
      </c>
      <c r="H264" s="12" t="s">
        <v>59</v>
      </c>
      <c r="I264" s="12" t="s">
        <v>508</v>
      </c>
      <c r="J264" s="11" t="s">
        <v>3987</v>
      </c>
      <c r="K264" s="12" t="s">
        <v>62</v>
      </c>
      <c r="L264" s="12" t="s">
        <v>510</v>
      </c>
    </row>
    <row r="265" spans="1:12" ht="26.4" x14ac:dyDescent="0.3">
      <c r="A265" s="10" t="s">
        <v>4001</v>
      </c>
      <c r="B265" s="11" t="s">
        <v>21</v>
      </c>
      <c r="C265" s="11" t="s">
        <v>4002</v>
      </c>
      <c r="D265" s="11" t="s">
        <v>4003</v>
      </c>
      <c r="E265" s="11" t="s">
        <v>4004</v>
      </c>
      <c r="F265" s="11" t="s">
        <v>4005</v>
      </c>
      <c r="G265" s="12" t="s">
        <v>59</v>
      </c>
      <c r="H265" s="12" t="s">
        <v>59</v>
      </c>
      <c r="I265" s="12" t="s">
        <v>508</v>
      </c>
      <c r="J265" s="11" t="s">
        <v>4006</v>
      </c>
      <c r="K265" s="12" t="s">
        <v>62</v>
      </c>
      <c r="L265" s="12" t="s">
        <v>510</v>
      </c>
    </row>
    <row r="266" spans="1:12" ht="26.4" x14ac:dyDescent="0.3">
      <c r="A266" s="10" t="s">
        <v>4007</v>
      </c>
      <c r="B266" s="11" t="s">
        <v>21</v>
      </c>
      <c r="C266" s="11" t="s">
        <v>4008</v>
      </c>
      <c r="D266" s="11" t="s">
        <v>4003</v>
      </c>
      <c r="E266" s="11" t="s">
        <v>4004</v>
      </c>
      <c r="F266" s="11" t="s">
        <v>4009</v>
      </c>
      <c r="G266" s="12" t="s">
        <v>59</v>
      </c>
      <c r="H266" s="12" t="s">
        <v>59</v>
      </c>
      <c r="I266" s="12" t="s">
        <v>508</v>
      </c>
      <c r="J266" s="11" t="s">
        <v>4006</v>
      </c>
      <c r="K266" s="12" t="s">
        <v>62</v>
      </c>
      <c r="L266" s="12" t="s">
        <v>510</v>
      </c>
    </row>
    <row r="267" spans="1:12" ht="26.4" x14ac:dyDescent="0.3">
      <c r="A267" s="10" t="s">
        <v>4010</v>
      </c>
      <c r="B267" s="11" t="s">
        <v>21</v>
      </c>
      <c r="C267" s="11" t="s">
        <v>4011</v>
      </c>
      <c r="D267" s="11" t="s">
        <v>4012</v>
      </c>
      <c r="E267" s="11" t="s">
        <v>4013</v>
      </c>
      <c r="F267" s="11" t="s">
        <v>3986</v>
      </c>
      <c r="G267" s="12" t="s">
        <v>59</v>
      </c>
      <c r="H267" s="12" t="s">
        <v>59</v>
      </c>
      <c r="I267" s="12" t="s">
        <v>508</v>
      </c>
      <c r="J267" s="11" t="s">
        <v>4014</v>
      </c>
      <c r="K267" s="12" t="s">
        <v>62</v>
      </c>
      <c r="L267" s="12" t="s">
        <v>510</v>
      </c>
    </row>
    <row r="268" spans="1:12" ht="26.4" x14ac:dyDescent="0.3">
      <c r="A268" s="10" t="s">
        <v>4015</v>
      </c>
      <c r="B268" s="11" t="s">
        <v>21</v>
      </c>
      <c r="C268" s="11" t="s">
        <v>4016</v>
      </c>
      <c r="D268" s="11" t="s">
        <v>4012</v>
      </c>
      <c r="E268" s="11" t="s">
        <v>4017</v>
      </c>
      <c r="F268" s="11" t="s">
        <v>3986</v>
      </c>
      <c r="G268" s="12" t="s">
        <v>59</v>
      </c>
      <c r="H268" s="12" t="s">
        <v>59</v>
      </c>
      <c r="I268" s="12" t="s">
        <v>508</v>
      </c>
      <c r="J268" s="11" t="s">
        <v>4014</v>
      </c>
      <c r="K268" s="12" t="s">
        <v>62</v>
      </c>
      <c r="L268" s="12" t="s">
        <v>510</v>
      </c>
    </row>
    <row r="269" spans="1:12" ht="26.4" x14ac:dyDescent="0.3">
      <c r="A269" s="10" t="s">
        <v>4018</v>
      </c>
      <c r="B269" s="11" t="s">
        <v>21</v>
      </c>
      <c r="C269" s="11" t="s">
        <v>4019</v>
      </c>
      <c r="D269" s="11" t="s">
        <v>4012</v>
      </c>
      <c r="E269" s="11" t="s">
        <v>4020</v>
      </c>
      <c r="F269" s="11" t="s">
        <v>3991</v>
      </c>
      <c r="G269" s="12" t="s">
        <v>59</v>
      </c>
      <c r="H269" s="12" t="s">
        <v>59</v>
      </c>
      <c r="I269" s="12" t="s">
        <v>508</v>
      </c>
      <c r="J269" s="11" t="s">
        <v>4014</v>
      </c>
      <c r="K269" s="12" t="s">
        <v>62</v>
      </c>
      <c r="L269" s="12" t="s">
        <v>510</v>
      </c>
    </row>
    <row r="270" spans="1:12" ht="26.4" x14ac:dyDescent="0.3">
      <c r="A270" s="10" t="s">
        <v>4021</v>
      </c>
      <c r="B270" s="11" t="s">
        <v>21</v>
      </c>
      <c r="C270" s="11" t="s">
        <v>4022</v>
      </c>
      <c r="D270" s="11" t="s">
        <v>4012</v>
      </c>
      <c r="E270" s="11" t="s">
        <v>4023</v>
      </c>
      <c r="F270" s="11" t="s">
        <v>3991</v>
      </c>
      <c r="G270" s="12" t="s">
        <v>59</v>
      </c>
      <c r="H270" s="12" t="s">
        <v>59</v>
      </c>
      <c r="I270" s="12" t="s">
        <v>508</v>
      </c>
      <c r="J270" s="11" t="s">
        <v>4014</v>
      </c>
      <c r="K270" s="12" t="s">
        <v>62</v>
      </c>
      <c r="L270" s="12" t="s">
        <v>510</v>
      </c>
    </row>
    <row r="271" spans="1:12" ht="26.4" x14ac:dyDescent="0.3">
      <c r="A271" s="10" t="s">
        <v>4024</v>
      </c>
      <c r="B271" s="11" t="s">
        <v>21</v>
      </c>
      <c r="C271" s="11" t="s">
        <v>4025</v>
      </c>
      <c r="D271" s="11" t="s">
        <v>4012</v>
      </c>
      <c r="E271" s="11" t="s">
        <v>4026</v>
      </c>
      <c r="F271" s="11" t="s">
        <v>3991</v>
      </c>
      <c r="G271" s="12" t="s">
        <v>59</v>
      </c>
      <c r="H271" s="12" t="s">
        <v>59</v>
      </c>
      <c r="I271" s="12" t="s">
        <v>508</v>
      </c>
      <c r="J271" s="11" t="s">
        <v>4014</v>
      </c>
      <c r="K271" s="12" t="s">
        <v>62</v>
      </c>
      <c r="L271" s="12" t="s">
        <v>510</v>
      </c>
    </row>
    <row r="272" spans="1:12" ht="26.4" x14ac:dyDescent="0.3">
      <c r="A272" s="10" t="s">
        <v>4027</v>
      </c>
      <c r="B272" s="11" t="s">
        <v>21</v>
      </c>
      <c r="C272" s="11" t="s">
        <v>4028</v>
      </c>
      <c r="D272" s="11" t="s">
        <v>4029</v>
      </c>
      <c r="E272" s="11" t="s">
        <v>4030</v>
      </c>
      <c r="F272" s="11" t="s">
        <v>3986</v>
      </c>
      <c r="G272" s="12" t="s">
        <v>59</v>
      </c>
      <c r="H272" s="12" t="s">
        <v>59</v>
      </c>
      <c r="I272" s="12" t="s">
        <v>508</v>
      </c>
      <c r="J272" s="11" t="s">
        <v>4031</v>
      </c>
      <c r="K272" s="12" t="s">
        <v>62</v>
      </c>
      <c r="L272" s="12" t="s">
        <v>510</v>
      </c>
    </row>
    <row r="273" spans="1:12" ht="26.4" x14ac:dyDescent="0.3">
      <c r="A273" s="10" t="s">
        <v>4032</v>
      </c>
      <c r="B273" s="11" t="s">
        <v>21</v>
      </c>
      <c r="C273" s="11" t="s">
        <v>4033</v>
      </c>
      <c r="D273" s="11" t="s">
        <v>4029</v>
      </c>
      <c r="E273" s="11" t="s">
        <v>4034</v>
      </c>
      <c r="F273" s="11" t="s">
        <v>3986</v>
      </c>
      <c r="G273" s="12" t="s">
        <v>59</v>
      </c>
      <c r="H273" s="12" t="s">
        <v>59</v>
      </c>
      <c r="I273" s="12" t="s">
        <v>508</v>
      </c>
      <c r="J273" s="11" t="s">
        <v>4031</v>
      </c>
      <c r="K273" s="12" t="s">
        <v>62</v>
      </c>
      <c r="L273" s="12" t="s">
        <v>510</v>
      </c>
    </row>
    <row r="274" spans="1:12" ht="26.4" x14ac:dyDescent="0.3">
      <c r="A274" s="10" t="s">
        <v>4035</v>
      </c>
      <c r="B274" s="11" t="s">
        <v>21</v>
      </c>
      <c r="C274" s="11" t="s">
        <v>4036</v>
      </c>
      <c r="D274" s="11" t="s">
        <v>4029</v>
      </c>
      <c r="E274" s="11" t="s">
        <v>4037</v>
      </c>
      <c r="F274" s="11" t="s">
        <v>3986</v>
      </c>
      <c r="G274" s="12" t="s">
        <v>59</v>
      </c>
      <c r="H274" s="12" t="s">
        <v>59</v>
      </c>
      <c r="I274" s="12" t="s">
        <v>508</v>
      </c>
      <c r="J274" s="11" t="s">
        <v>4031</v>
      </c>
      <c r="K274" s="12" t="s">
        <v>62</v>
      </c>
      <c r="L274" s="12" t="s">
        <v>510</v>
      </c>
    </row>
    <row r="275" spans="1:12" ht="26.4" x14ac:dyDescent="0.3">
      <c r="A275" s="10" t="s">
        <v>4038</v>
      </c>
      <c r="B275" s="11" t="s">
        <v>21</v>
      </c>
      <c r="C275" s="11" t="s">
        <v>4039</v>
      </c>
      <c r="D275" s="11" t="s">
        <v>4029</v>
      </c>
      <c r="E275" s="11" t="s">
        <v>4040</v>
      </c>
      <c r="F275" s="11" t="s">
        <v>3991</v>
      </c>
      <c r="G275" s="12" t="s">
        <v>59</v>
      </c>
      <c r="H275" s="12" t="s">
        <v>59</v>
      </c>
      <c r="I275" s="12" t="s">
        <v>508</v>
      </c>
      <c r="J275" s="11" t="s">
        <v>4031</v>
      </c>
      <c r="K275" s="12" t="s">
        <v>62</v>
      </c>
      <c r="L275" s="12" t="s">
        <v>510</v>
      </c>
    </row>
    <row r="276" spans="1:12" ht="26.4" x14ac:dyDescent="0.3">
      <c r="A276" s="10" t="s">
        <v>4041</v>
      </c>
      <c r="B276" s="11" t="s">
        <v>21</v>
      </c>
      <c r="C276" s="11" t="s">
        <v>4042</v>
      </c>
      <c r="D276" s="11" t="s">
        <v>4029</v>
      </c>
      <c r="E276" s="11" t="s">
        <v>4043</v>
      </c>
      <c r="F276" s="11" t="s">
        <v>3991</v>
      </c>
      <c r="G276" s="12" t="s">
        <v>59</v>
      </c>
      <c r="H276" s="12" t="s">
        <v>59</v>
      </c>
      <c r="I276" s="12" t="s">
        <v>508</v>
      </c>
      <c r="J276" s="11" t="s">
        <v>4031</v>
      </c>
      <c r="K276" s="12" t="s">
        <v>62</v>
      </c>
      <c r="L276" s="12" t="s">
        <v>510</v>
      </c>
    </row>
    <row r="277" spans="1:12" ht="26.4" x14ac:dyDescent="0.3">
      <c r="A277" s="10" t="s">
        <v>4044</v>
      </c>
      <c r="B277" s="11" t="s">
        <v>21</v>
      </c>
      <c r="C277" s="11" t="s">
        <v>4045</v>
      </c>
      <c r="D277" s="11" t="s">
        <v>4029</v>
      </c>
      <c r="E277" s="11" t="s">
        <v>4046</v>
      </c>
      <c r="F277" s="11" t="s">
        <v>3991</v>
      </c>
      <c r="G277" s="12" t="s">
        <v>59</v>
      </c>
      <c r="H277" s="12" t="s">
        <v>59</v>
      </c>
      <c r="I277" s="12" t="s">
        <v>508</v>
      </c>
      <c r="J277" s="11" t="s">
        <v>4031</v>
      </c>
      <c r="K277" s="12" t="s">
        <v>62</v>
      </c>
      <c r="L277" s="12" t="s">
        <v>510</v>
      </c>
    </row>
    <row r="278" spans="1:12" ht="26.4" x14ac:dyDescent="0.3">
      <c r="A278" s="10" t="s">
        <v>4047</v>
      </c>
      <c r="B278" s="11" t="s">
        <v>21</v>
      </c>
      <c r="C278" s="11" t="s">
        <v>4048</v>
      </c>
      <c r="D278" s="11" t="s">
        <v>4029</v>
      </c>
      <c r="E278" s="11" t="s">
        <v>4049</v>
      </c>
      <c r="F278" s="11" t="s">
        <v>3991</v>
      </c>
      <c r="G278" s="12" t="s">
        <v>59</v>
      </c>
      <c r="H278" s="12" t="s">
        <v>59</v>
      </c>
      <c r="I278" s="12" t="s">
        <v>508</v>
      </c>
      <c r="J278" s="11" t="s">
        <v>4031</v>
      </c>
      <c r="K278" s="12" t="s">
        <v>62</v>
      </c>
      <c r="L278" s="12" t="s">
        <v>510</v>
      </c>
    </row>
    <row r="279" spans="1:12" ht="26.4" x14ac:dyDescent="0.3">
      <c r="A279" s="10" t="s">
        <v>4050</v>
      </c>
      <c r="B279" s="11" t="s">
        <v>21</v>
      </c>
      <c r="C279" s="11" t="s">
        <v>4051</v>
      </c>
      <c r="D279" s="11" t="s">
        <v>4052</v>
      </c>
      <c r="E279" s="11" t="s">
        <v>4053</v>
      </c>
      <c r="F279" s="11" t="s">
        <v>4054</v>
      </c>
      <c r="G279" s="12" t="s">
        <v>59</v>
      </c>
      <c r="H279" s="12" t="s">
        <v>59</v>
      </c>
      <c r="I279" s="12" t="s">
        <v>508</v>
      </c>
      <c r="J279" s="11" t="s">
        <v>4055</v>
      </c>
      <c r="K279" s="12" t="s">
        <v>62</v>
      </c>
      <c r="L279" s="12" t="s">
        <v>510</v>
      </c>
    </row>
    <row r="280" spans="1:12" ht="26.4" x14ac:dyDescent="0.3">
      <c r="A280" s="10" t="s">
        <v>4056</v>
      </c>
      <c r="B280" s="11" t="s">
        <v>21</v>
      </c>
      <c r="C280" s="11" t="s">
        <v>4057</v>
      </c>
      <c r="D280" s="11" t="s">
        <v>4052</v>
      </c>
      <c r="E280" s="11" t="s">
        <v>3599</v>
      </c>
      <c r="F280" s="11" t="s">
        <v>4054</v>
      </c>
      <c r="G280" s="12" t="s">
        <v>59</v>
      </c>
      <c r="H280" s="12" t="s">
        <v>59</v>
      </c>
      <c r="I280" s="12" t="s">
        <v>508</v>
      </c>
      <c r="J280" s="11" t="s">
        <v>4055</v>
      </c>
      <c r="K280" s="12" t="s">
        <v>62</v>
      </c>
      <c r="L280" s="12" t="s">
        <v>510</v>
      </c>
    </row>
    <row r="281" spans="1:12" ht="26.4" x14ac:dyDescent="0.3">
      <c r="A281" s="10" t="s">
        <v>4058</v>
      </c>
      <c r="B281" s="11" t="s">
        <v>21</v>
      </c>
      <c r="C281" s="11" t="s">
        <v>4059</v>
      </c>
      <c r="D281" s="11" t="s">
        <v>4052</v>
      </c>
      <c r="E281" s="11" t="s">
        <v>4060</v>
      </c>
      <c r="F281" s="11" t="s">
        <v>4054</v>
      </c>
      <c r="G281" s="12" t="s">
        <v>59</v>
      </c>
      <c r="H281" s="12" t="s">
        <v>59</v>
      </c>
      <c r="I281" s="12" t="s">
        <v>508</v>
      </c>
      <c r="J281" s="11" t="s">
        <v>4055</v>
      </c>
      <c r="K281" s="12" t="s">
        <v>62</v>
      </c>
      <c r="L281" s="12" t="s">
        <v>510</v>
      </c>
    </row>
    <row r="282" spans="1:12" ht="26.4" x14ac:dyDescent="0.3">
      <c r="A282" s="10" t="s">
        <v>4061</v>
      </c>
      <c r="B282" s="11" t="s">
        <v>21</v>
      </c>
      <c r="C282" s="11" t="s">
        <v>4062</v>
      </c>
      <c r="D282" s="11" t="s">
        <v>4052</v>
      </c>
      <c r="E282" s="11" t="s">
        <v>4063</v>
      </c>
      <c r="F282" s="11" t="s">
        <v>4054</v>
      </c>
      <c r="G282" s="12" t="s">
        <v>59</v>
      </c>
      <c r="H282" s="12" t="s">
        <v>59</v>
      </c>
      <c r="I282" s="12" t="s">
        <v>508</v>
      </c>
      <c r="J282" s="11" t="s">
        <v>4055</v>
      </c>
      <c r="K282" s="12" t="s">
        <v>62</v>
      </c>
      <c r="L282" s="12" t="s">
        <v>510</v>
      </c>
    </row>
    <row r="283" spans="1:12" ht="26.4" x14ac:dyDescent="0.3">
      <c r="A283" s="10" t="s">
        <v>4064</v>
      </c>
      <c r="B283" s="11" t="s">
        <v>21</v>
      </c>
      <c r="C283" s="11" t="s">
        <v>4065</v>
      </c>
      <c r="D283" s="11" t="s">
        <v>4066</v>
      </c>
      <c r="E283" s="11" t="s">
        <v>4067</v>
      </c>
      <c r="F283" s="11" t="s">
        <v>4068</v>
      </c>
      <c r="G283" s="12" t="s">
        <v>59</v>
      </c>
      <c r="H283" s="12" t="s">
        <v>59</v>
      </c>
      <c r="I283" s="12" t="s">
        <v>508</v>
      </c>
      <c r="J283" s="11" t="s">
        <v>4069</v>
      </c>
      <c r="K283" s="12" t="s">
        <v>62</v>
      </c>
      <c r="L283" s="12" t="s">
        <v>510</v>
      </c>
    </row>
    <row r="284" spans="1:12" ht="26.4" x14ac:dyDescent="0.3">
      <c r="A284" s="10" t="s">
        <v>4070</v>
      </c>
      <c r="B284" s="11" t="s">
        <v>21</v>
      </c>
      <c r="C284" s="11" t="s">
        <v>4071</v>
      </c>
      <c r="D284" s="11" t="s">
        <v>4066</v>
      </c>
      <c r="E284" s="11" t="s">
        <v>4072</v>
      </c>
      <c r="F284" s="11" t="s">
        <v>4068</v>
      </c>
      <c r="G284" s="12" t="s">
        <v>59</v>
      </c>
      <c r="H284" s="12" t="s">
        <v>59</v>
      </c>
      <c r="I284" s="12" t="s">
        <v>508</v>
      </c>
      <c r="J284" s="11" t="s">
        <v>4069</v>
      </c>
      <c r="K284" s="12" t="s">
        <v>62</v>
      </c>
      <c r="L284" s="12" t="s">
        <v>510</v>
      </c>
    </row>
    <row r="285" spans="1:12" ht="26.4" x14ac:dyDescent="0.3">
      <c r="A285" s="10" t="s">
        <v>4073</v>
      </c>
      <c r="B285" s="11" t="s">
        <v>21</v>
      </c>
      <c r="C285" s="11" t="s">
        <v>4074</v>
      </c>
      <c r="D285" s="11" t="s">
        <v>4066</v>
      </c>
      <c r="E285" s="11" t="s">
        <v>4075</v>
      </c>
      <c r="F285" s="11" t="s">
        <v>4076</v>
      </c>
      <c r="G285" s="12" t="s">
        <v>59</v>
      </c>
      <c r="H285" s="12" t="s">
        <v>59</v>
      </c>
      <c r="I285" s="12" t="s">
        <v>508</v>
      </c>
      <c r="J285" s="11" t="s">
        <v>4069</v>
      </c>
      <c r="K285" s="12" t="s">
        <v>62</v>
      </c>
      <c r="L285" s="12" t="s">
        <v>510</v>
      </c>
    </row>
    <row r="286" spans="1:12" ht="26.4" x14ac:dyDescent="0.3">
      <c r="A286" s="10" t="s">
        <v>4077</v>
      </c>
      <c r="B286" s="11" t="s">
        <v>21</v>
      </c>
      <c r="C286" s="11" t="s">
        <v>4078</v>
      </c>
      <c r="D286" s="11" t="s">
        <v>4079</v>
      </c>
      <c r="E286" s="11" t="s">
        <v>4080</v>
      </c>
      <c r="F286" s="11" t="s">
        <v>4081</v>
      </c>
      <c r="G286" s="12" t="s">
        <v>59</v>
      </c>
      <c r="H286" s="12" t="s">
        <v>59</v>
      </c>
      <c r="I286" s="12" t="s">
        <v>508</v>
      </c>
      <c r="J286" s="11" t="s">
        <v>4082</v>
      </c>
      <c r="K286" s="12" t="s">
        <v>62</v>
      </c>
      <c r="L286" s="12" t="s">
        <v>510</v>
      </c>
    </row>
    <row r="287" spans="1:12" ht="26.4" x14ac:dyDescent="0.3">
      <c r="A287" s="10" t="s">
        <v>4083</v>
      </c>
      <c r="B287" s="11" t="s">
        <v>21</v>
      </c>
      <c r="C287" s="11" t="s">
        <v>4084</v>
      </c>
      <c r="D287" s="11" t="s">
        <v>4079</v>
      </c>
      <c r="E287" s="11" t="s">
        <v>4085</v>
      </c>
      <c r="F287" s="11" t="s">
        <v>4086</v>
      </c>
      <c r="G287" s="12" t="s">
        <v>59</v>
      </c>
      <c r="H287" s="12" t="s">
        <v>59</v>
      </c>
      <c r="I287" s="12" t="s">
        <v>508</v>
      </c>
      <c r="J287" s="11" t="s">
        <v>4082</v>
      </c>
      <c r="K287" s="12" t="s">
        <v>62</v>
      </c>
      <c r="L287" s="12" t="s">
        <v>510</v>
      </c>
    </row>
    <row r="288" spans="1:12" ht="26.4" x14ac:dyDescent="0.3">
      <c r="A288" s="10" t="s">
        <v>4087</v>
      </c>
      <c r="B288" s="11" t="s">
        <v>21</v>
      </c>
      <c r="C288" s="11" t="s">
        <v>4088</v>
      </c>
      <c r="D288" s="11" t="s">
        <v>4079</v>
      </c>
      <c r="E288" s="11" t="s">
        <v>4089</v>
      </c>
      <c r="F288" s="11" t="s">
        <v>4090</v>
      </c>
      <c r="G288" s="12" t="s">
        <v>59</v>
      </c>
      <c r="H288" s="12" t="s">
        <v>59</v>
      </c>
      <c r="I288" s="12" t="s">
        <v>508</v>
      </c>
      <c r="J288" s="11" t="s">
        <v>4082</v>
      </c>
      <c r="K288" s="12" t="s">
        <v>62</v>
      </c>
      <c r="L288" s="12" t="s">
        <v>510</v>
      </c>
    </row>
    <row r="289" spans="1:12" ht="26.4" x14ac:dyDescent="0.3">
      <c r="A289" s="10" t="s">
        <v>4091</v>
      </c>
      <c r="B289" s="11" t="s">
        <v>21</v>
      </c>
      <c r="C289" s="11" t="s">
        <v>4092</v>
      </c>
      <c r="D289" s="11" t="s">
        <v>4079</v>
      </c>
      <c r="E289" s="11" t="s">
        <v>4093</v>
      </c>
      <c r="F289" s="11" t="s">
        <v>4094</v>
      </c>
      <c r="G289" s="12" t="s">
        <v>59</v>
      </c>
      <c r="H289" s="12" t="s">
        <v>59</v>
      </c>
      <c r="I289" s="12" t="s">
        <v>508</v>
      </c>
      <c r="J289" s="11" t="s">
        <v>4082</v>
      </c>
      <c r="K289" s="12" t="s">
        <v>62</v>
      </c>
      <c r="L289" s="12" t="s">
        <v>510</v>
      </c>
    </row>
    <row r="290" spans="1:12" ht="26.4" x14ac:dyDescent="0.3">
      <c r="A290" s="10" t="s">
        <v>4095</v>
      </c>
      <c r="B290" s="11" t="s">
        <v>21</v>
      </c>
      <c r="C290" s="11" t="s">
        <v>4096</v>
      </c>
      <c r="D290" s="11" t="s">
        <v>4079</v>
      </c>
      <c r="E290" s="11" t="s">
        <v>4097</v>
      </c>
      <c r="F290" s="11" t="s">
        <v>4098</v>
      </c>
      <c r="G290" s="12" t="s">
        <v>59</v>
      </c>
      <c r="H290" s="12" t="s">
        <v>59</v>
      </c>
      <c r="I290" s="12" t="s">
        <v>508</v>
      </c>
      <c r="J290" s="11" t="s">
        <v>4082</v>
      </c>
      <c r="K290" s="12" t="s">
        <v>62</v>
      </c>
      <c r="L290" s="12" t="s">
        <v>510</v>
      </c>
    </row>
    <row r="291" spans="1:12" ht="39.6" x14ac:dyDescent="0.3">
      <c r="A291" s="10" t="s">
        <v>4099</v>
      </c>
      <c r="B291" s="11" t="s">
        <v>21</v>
      </c>
      <c r="C291" s="11" t="s">
        <v>4100</v>
      </c>
      <c r="D291" s="11" t="s">
        <v>4101</v>
      </c>
      <c r="E291" s="11" t="s">
        <v>4102</v>
      </c>
      <c r="F291" s="11" t="s">
        <v>4103</v>
      </c>
      <c r="G291" s="12" t="s">
        <v>59</v>
      </c>
      <c r="H291" s="12" t="s">
        <v>59</v>
      </c>
      <c r="I291" s="12" t="s">
        <v>508</v>
      </c>
      <c r="J291" s="11" t="s">
        <v>4104</v>
      </c>
      <c r="K291" s="12" t="s">
        <v>62</v>
      </c>
      <c r="L291" s="12" t="s">
        <v>510</v>
      </c>
    </row>
    <row r="292" spans="1:12" ht="39.6" x14ac:dyDescent="0.3">
      <c r="A292" s="10" t="s">
        <v>4105</v>
      </c>
      <c r="B292" s="11" t="s">
        <v>21</v>
      </c>
      <c r="C292" s="11" t="s">
        <v>4106</v>
      </c>
      <c r="D292" s="11" t="s">
        <v>4101</v>
      </c>
      <c r="E292" s="11" t="s">
        <v>4107</v>
      </c>
      <c r="F292" s="11" t="s">
        <v>4103</v>
      </c>
      <c r="G292" s="12" t="s">
        <v>59</v>
      </c>
      <c r="H292" s="12" t="s">
        <v>59</v>
      </c>
      <c r="I292" s="12" t="s">
        <v>508</v>
      </c>
      <c r="J292" s="11" t="s">
        <v>4104</v>
      </c>
      <c r="K292" s="12" t="s">
        <v>62</v>
      </c>
      <c r="L292" s="12" t="s">
        <v>510</v>
      </c>
    </row>
    <row r="293" spans="1:12" ht="39.6" x14ac:dyDescent="0.3">
      <c r="A293" s="10" t="s">
        <v>4108</v>
      </c>
      <c r="B293" s="11" t="s">
        <v>21</v>
      </c>
      <c r="C293" s="11" t="s">
        <v>4109</v>
      </c>
      <c r="D293" s="11" t="s">
        <v>4101</v>
      </c>
      <c r="E293" s="11" t="s">
        <v>4110</v>
      </c>
      <c r="F293" s="11" t="s">
        <v>4111</v>
      </c>
      <c r="G293" s="12" t="s">
        <v>59</v>
      </c>
      <c r="H293" s="12" t="s">
        <v>59</v>
      </c>
      <c r="I293" s="12" t="s">
        <v>508</v>
      </c>
      <c r="J293" s="11" t="s">
        <v>4104</v>
      </c>
      <c r="K293" s="12" t="s">
        <v>62</v>
      </c>
      <c r="L293" s="12" t="s">
        <v>510</v>
      </c>
    </row>
    <row r="294" spans="1:12" ht="39.6" x14ac:dyDescent="0.3">
      <c r="A294" s="10" t="s">
        <v>4112</v>
      </c>
      <c r="B294" s="11" t="s">
        <v>21</v>
      </c>
      <c r="C294" s="11" t="s">
        <v>4113</v>
      </c>
      <c r="D294" s="11" t="s">
        <v>4101</v>
      </c>
      <c r="E294" s="11" t="s">
        <v>4114</v>
      </c>
      <c r="F294" s="11" t="s">
        <v>4115</v>
      </c>
      <c r="G294" s="12" t="s">
        <v>59</v>
      </c>
      <c r="H294" s="12" t="s">
        <v>59</v>
      </c>
      <c r="I294" s="12" t="s">
        <v>508</v>
      </c>
      <c r="J294" s="11" t="s">
        <v>4104</v>
      </c>
      <c r="K294" s="12" t="s">
        <v>62</v>
      </c>
      <c r="L294" s="12" t="s">
        <v>510</v>
      </c>
    </row>
    <row r="295" spans="1:12" ht="39.6" x14ac:dyDescent="0.3">
      <c r="A295" s="10" t="s">
        <v>4116</v>
      </c>
      <c r="B295" s="11" t="s">
        <v>21</v>
      </c>
      <c r="C295" s="11" t="s">
        <v>4117</v>
      </c>
      <c r="D295" s="11" t="s">
        <v>4101</v>
      </c>
      <c r="E295" s="11" t="s">
        <v>4118</v>
      </c>
      <c r="F295" s="11" t="s">
        <v>4119</v>
      </c>
      <c r="G295" s="12" t="s">
        <v>59</v>
      </c>
      <c r="H295" s="12" t="s">
        <v>59</v>
      </c>
      <c r="I295" s="12" t="s">
        <v>508</v>
      </c>
      <c r="J295" s="11" t="s">
        <v>4104</v>
      </c>
      <c r="K295" s="12" t="s">
        <v>62</v>
      </c>
      <c r="L295" s="12" t="s">
        <v>510</v>
      </c>
    </row>
    <row r="296" spans="1:12" ht="39.6" x14ac:dyDescent="0.3">
      <c r="A296" s="10" t="s">
        <v>4120</v>
      </c>
      <c r="B296" s="11" t="s">
        <v>21</v>
      </c>
      <c r="C296" s="11" t="s">
        <v>4121</v>
      </c>
      <c r="D296" s="11" t="s">
        <v>4101</v>
      </c>
      <c r="E296" s="11" t="s">
        <v>4122</v>
      </c>
      <c r="F296" s="11" t="s">
        <v>4123</v>
      </c>
      <c r="G296" s="12" t="s">
        <v>59</v>
      </c>
      <c r="H296" s="12" t="s">
        <v>59</v>
      </c>
      <c r="I296" s="12" t="s">
        <v>508</v>
      </c>
      <c r="J296" s="11" t="s">
        <v>4104</v>
      </c>
      <c r="K296" s="12" t="s">
        <v>62</v>
      </c>
      <c r="L296" s="12" t="s">
        <v>510</v>
      </c>
    </row>
    <row r="297" spans="1:12" ht="39.6" x14ac:dyDescent="0.3">
      <c r="A297" s="10" t="s">
        <v>4124</v>
      </c>
      <c r="B297" s="11" t="s">
        <v>21</v>
      </c>
      <c r="C297" s="11" t="s">
        <v>4125</v>
      </c>
      <c r="D297" s="11" t="s">
        <v>4101</v>
      </c>
      <c r="E297" s="11" t="s">
        <v>4126</v>
      </c>
      <c r="F297" s="11" t="s">
        <v>4111</v>
      </c>
      <c r="G297" s="12" t="s">
        <v>59</v>
      </c>
      <c r="H297" s="12" t="s">
        <v>59</v>
      </c>
      <c r="I297" s="12" t="s">
        <v>508</v>
      </c>
      <c r="J297" s="11" t="s">
        <v>4104</v>
      </c>
      <c r="K297" s="12" t="s">
        <v>62</v>
      </c>
      <c r="L297" s="12" t="s">
        <v>510</v>
      </c>
    </row>
    <row r="298" spans="1:12" ht="39.6" x14ac:dyDescent="0.3">
      <c r="A298" s="10" t="s">
        <v>4127</v>
      </c>
      <c r="B298" s="11" t="s">
        <v>21</v>
      </c>
      <c r="C298" s="11" t="s">
        <v>4128</v>
      </c>
      <c r="D298" s="11" t="s">
        <v>4101</v>
      </c>
      <c r="E298" s="11" t="s">
        <v>4129</v>
      </c>
      <c r="F298" s="11" t="s">
        <v>4111</v>
      </c>
      <c r="G298" s="12" t="s">
        <v>59</v>
      </c>
      <c r="H298" s="12" t="s">
        <v>59</v>
      </c>
      <c r="I298" s="12" t="s">
        <v>508</v>
      </c>
      <c r="J298" s="11" t="s">
        <v>4104</v>
      </c>
      <c r="K298" s="12" t="s">
        <v>62</v>
      </c>
      <c r="L298" s="12" t="s">
        <v>510</v>
      </c>
    </row>
    <row r="299" spans="1:12" ht="39.6" x14ac:dyDescent="0.3">
      <c r="A299" s="10" t="s">
        <v>4130</v>
      </c>
      <c r="B299" s="11" t="s">
        <v>21</v>
      </c>
      <c r="C299" s="11" t="s">
        <v>4131</v>
      </c>
      <c r="D299" s="11" t="s">
        <v>4101</v>
      </c>
      <c r="E299" s="11" t="s">
        <v>4132</v>
      </c>
      <c r="F299" s="11" t="s">
        <v>4115</v>
      </c>
      <c r="G299" s="12" t="s">
        <v>59</v>
      </c>
      <c r="H299" s="12" t="s">
        <v>59</v>
      </c>
      <c r="I299" s="12" t="s">
        <v>508</v>
      </c>
      <c r="J299" s="11" t="s">
        <v>4104</v>
      </c>
      <c r="K299" s="12" t="s">
        <v>62</v>
      </c>
      <c r="L299" s="12" t="s">
        <v>510</v>
      </c>
    </row>
    <row r="300" spans="1:12" ht="39.6" x14ac:dyDescent="0.3">
      <c r="A300" s="10" t="s">
        <v>4133</v>
      </c>
      <c r="B300" s="11" t="s">
        <v>21</v>
      </c>
      <c r="C300" s="11" t="s">
        <v>4134</v>
      </c>
      <c r="D300" s="11" t="s">
        <v>4101</v>
      </c>
      <c r="E300" s="11" t="s">
        <v>4135</v>
      </c>
      <c r="F300" s="11" t="s">
        <v>4119</v>
      </c>
      <c r="G300" s="12" t="s">
        <v>59</v>
      </c>
      <c r="H300" s="12" t="s">
        <v>59</v>
      </c>
      <c r="I300" s="12" t="s">
        <v>508</v>
      </c>
      <c r="J300" s="11" t="s">
        <v>4104</v>
      </c>
      <c r="K300" s="12" t="s">
        <v>62</v>
      </c>
      <c r="L300" s="12" t="s">
        <v>510</v>
      </c>
    </row>
    <row r="301" spans="1:12" ht="39.6" x14ac:dyDescent="0.3">
      <c r="A301" s="10" t="s">
        <v>4136</v>
      </c>
      <c r="B301" s="11" t="s">
        <v>21</v>
      </c>
      <c r="C301" s="11" t="s">
        <v>4137</v>
      </c>
      <c r="D301" s="11" t="s">
        <v>4101</v>
      </c>
      <c r="E301" s="11" t="s">
        <v>4138</v>
      </c>
      <c r="F301" s="11" t="s">
        <v>4123</v>
      </c>
      <c r="G301" s="12" t="s">
        <v>59</v>
      </c>
      <c r="H301" s="12" t="s">
        <v>59</v>
      </c>
      <c r="I301" s="12" t="s">
        <v>508</v>
      </c>
      <c r="J301" s="11" t="s">
        <v>4104</v>
      </c>
      <c r="K301" s="12" t="s">
        <v>62</v>
      </c>
      <c r="L301" s="12" t="s">
        <v>510</v>
      </c>
    </row>
    <row r="302" spans="1:12" ht="39.6" x14ac:dyDescent="0.3">
      <c r="A302" s="10" t="s">
        <v>4139</v>
      </c>
      <c r="B302" s="11" t="s">
        <v>21</v>
      </c>
      <c r="C302" s="11" t="s">
        <v>4140</v>
      </c>
      <c r="D302" s="11" t="s">
        <v>4101</v>
      </c>
      <c r="E302" s="11" t="s">
        <v>4141</v>
      </c>
      <c r="F302" s="11" t="s">
        <v>4103</v>
      </c>
      <c r="G302" s="12" t="s">
        <v>59</v>
      </c>
      <c r="H302" s="12" t="s">
        <v>59</v>
      </c>
      <c r="I302" s="12" t="s">
        <v>508</v>
      </c>
      <c r="J302" s="11" t="s">
        <v>4104</v>
      </c>
      <c r="K302" s="12" t="s">
        <v>62</v>
      </c>
      <c r="L302" s="12" t="s">
        <v>510</v>
      </c>
    </row>
    <row r="303" spans="1:12" ht="39.6" x14ac:dyDescent="0.3">
      <c r="A303" s="10" t="s">
        <v>4142</v>
      </c>
      <c r="B303" s="11" t="s">
        <v>21</v>
      </c>
      <c r="C303" s="11" t="s">
        <v>4143</v>
      </c>
      <c r="D303" s="11" t="s">
        <v>4101</v>
      </c>
      <c r="E303" s="11" t="s">
        <v>4144</v>
      </c>
      <c r="F303" s="11" t="s">
        <v>4115</v>
      </c>
      <c r="G303" s="12" t="s">
        <v>59</v>
      </c>
      <c r="H303" s="12" t="s">
        <v>59</v>
      </c>
      <c r="I303" s="12" t="s">
        <v>508</v>
      </c>
      <c r="J303" s="11" t="s">
        <v>4104</v>
      </c>
      <c r="K303" s="12" t="s">
        <v>62</v>
      </c>
      <c r="L303" s="12" t="s">
        <v>510</v>
      </c>
    </row>
    <row r="304" spans="1:12" ht="39.6" x14ac:dyDescent="0.3">
      <c r="A304" s="10" t="s">
        <v>4145</v>
      </c>
      <c r="B304" s="11" t="s">
        <v>21</v>
      </c>
      <c r="C304" s="11" t="s">
        <v>4146</v>
      </c>
      <c r="D304" s="11" t="s">
        <v>4101</v>
      </c>
      <c r="E304" s="11" t="s">
        <v>4147</v>
      </c>
      <c r="F304" s="11" t="s">
        <v>4115</v>
      </c>
      <c r="G304" s="12" t="s">
        <v>59</v>
      </c>
      <c r="H304" s="12" t="s">
        <v>59</v>
      </c>
      <c r="I304" s="12" t="s">
        <v>508</v>
      </c>
      <c r="J304" s="11" t="s">
        <v>4104</v>
      </c>
      <c r="K304" s="12" t="s">
        <v>62</v>
      </c>
      <c r="L304" s="12" t="s">
        <v>510</v>
      </c>
    </row>
    <row r="305" spans="1:12" ht="39.6" x14ac:dyDescent="0.3">
      <c r="A305" s="10" t="s">
        <v>4148</v>
      </c>
      <c r="B305" s="11" t="s">
        <v>21</v>
      </c>
      <c r="C305" s="11" t="s">
        <v>4149</v>
      </c>
      <c r="D305" s="11" t="s">
        <v>4101</v>
      </c>
      <c r="E305" s="11" t="s">
        <v>4150</v>
      </c>
      <c r="F305" s="11" t="s">
        <v>4119</v>
      </c>
      <c r="G305" s="12" t="s">
        <v>59</v>
      </c>
      <c r="H305" s="12" t="s">
        <v>59</v>
      </c>
      <c r="I305" s="12" t="s">
        <v>508</v>
      </c>
      <c r="J305" s="11" t="s">
        <v>4104</v>
      </c>
      <c r="K305" s="12" t="s">
        <v>62</v>
      </c>
      <c r="L305" s="12" t="s">
        <v>510</v>
      </c>
    </row>
    <row r="306" spans="1:12" ht="39.6" x14ac:dyDescent="0.3">
      <c r="A306" s="10" t="s">
        <v>4151</v>
      </c>
      <c r="B306" s="11" t="s">
        <v>21</v>
      </c>
      <c r="C306" s="11" t="s">
        <v>4152</v>
      </c>
      <c r="D306" s="11" t="s">
        <v>4101</v>
      </c>
      <c r="E306" s="11" t="s">
        <v>4153</v>
      </c>
      <c r="F306" s="11" t="s">
        <v>4119</v>
      </c>
      <c r="G306" s="12" t="s">
        <v>59</v>
      </c>
      <c r="H306" s="12" t="s">
        <v>59</v>
      </c>
      <c r="I306" s="12" t="s">
        <v>508</v>
      </c>
      <c r="J306" s="11" t="s">
        <v>4104</v>
      </c>
      <c r="K306" s="12" t="s">
        <v>62</v>
      </c>
      <c r="L306" s="12" t="s">
        <v>510</v>
      </c>
    </row>
    <row r="307" spans="1:12" ht="39.6" x14ac:dyDescent="0.3">
      <c r="A307" s="10" t="s">
        <v>4154</v>
      </c>
      <c r="B307" s="11" t="s">
        <v>21</v>
      </c>
      <c r="C307" s="11" t="s">
        <v>4155</v>
      </c>
      <c r="D307" s="11" t="s">
        <v>4101</v>
      </c>
      <c r="E307" s="11" t="s">
        <v>4156</v>
      </c>
      <c r="F307" s="11" t="s">
        <v>4119</v>
      </c>
      <c r="G307" s="12" t="s">
        <v>59</v>
      </c>
      <c r="H307" s="12" t="s">
        <v>59</v>
      </c>
      <c r="I307" s="12" t="s">
        <v>508</v>
      </c>
      <c r="J307" s="11" t="s">
        <v>4104</v>
      </c>
      <c r="K307" s="12" t="s">
        <v>62</v>
      </c>
      <c r="L307" s="12" t="s">
        <v>510</v>
      </c>
    </row>
    <row r="308" spans="1:12" ht="39.6" x14ac:dyDescent="0.3">
      <c r="A308" s="10" t="s">
        <v>4157</v>
      </c>
      <c r="B308" s="11" t="s">
        <v>21</v>
      </c>
      <c r="C308" s="11" t="s">
        <v>4158</v>
      </c>
      <c r="D308" s="11" t="s">
        <v>4101</v>
      </c>
      <c r="E308" s="11" t="s">
        <v>4159</v>
      </c>
      <c r="F308" s="11" t="s">
        <v>4111</v>
      </c>
      <c r="G308" s="12" t="s">
        <v>59</v>
      </c>
      <c r="H308" s="12" t="s">
        <v>59</v>
      </c>
      <c r="I308" s="12" t="s">
        <v>508</v>
      </c>
      <c r="J308" s="11" t="s">
        <v>4104</v>
      </c>
      <c r="K308" s="12" t="s">
        <v>62</v>
      </c>
      <c r="L308" s="12" t="s">
        <v>510</v>
      </c>
    </row>
    <row r="309" spans="1:12" ht="39.6" x14ac:dyDescent="0.3">
      <c r="A309" s="10" t="s">
        <v>4160</v>
      </c>
      <c r="B309" s="11" t="s">
        <v>21</v>
      </c>
      <c r="C309" s="11" t="s">
        <v>4161</v>
      </c>
      <c r="D309" s="11" t="s">
        <v>4101</v>
      </c>
      <c r="E309" s="11" t="s">
        <v>4162</v>
      </c>
      <c r="F309" s="11" t="s">
        <v>4115</v>
      </c>
      <c r="G309" s="12" t="s">
        <v>59</v>
      </c>
      <c r="H309" s="12" t="s">
        <v>59</v>
      </c>
      <c r="I309" s="12" t="s">
        <v>508</v>
      </c>
      <c r="J309" s="11" t="s">
        <v>4104</v>
      </c>
      <c r="K309" s="12" t="s">
        <v>62</v>
      </c>
      <c r="L309" s="12" t="s">
        <v>510</v>
      </c>
    </row>
    <row r="310" spans="1:12" ht="39.6" x14ac:dyDescent="0.3">
      <c r="A310" s="10" t="s">
        <v>4163</v>
      </c>
      <c r="B310" s="11" t="s">
        <v>21</v>
      </c>
      <c r="C310" s="11" t="s">
        <v>4164</v>
      </c>
      <c r="D310" s="11" t="s">
        <v>4101</v>
      </c>
      <c r="E310" s="11" t="s">
        <v>4165</v>
      </c>
      <c r="F310" s="11" t="s">
        <v>4119</v>
      </c>
      <c r="G310" s="12" t="s">
        <v>59</v>
      </c>
      <c r="H310" s="12" t="s">
        <v>59</v>
      </c>
      <c r="I310" s="12" t="s">
        <v>508</v>
      </c>
      <c r="J310" s="11" t="s">
        <v>4104</v>
      </c>
      <c r="K310" s="12" t="s">
        <v>62</v>
      </c>
      <c r="L310" s="12" t="s">
        <v>510</v>
      </c>
    </row>
    <row r="311" spans="1:12" ht="26.4" x14ac:dyDescent="0.3">
      <c r="A311" s="10" t="s">
        <v>4166</v>
      </c>
      <c r="B311" s="11" t="s">
        <v>21</v>
      </c>
      <c r="C311" s="11" t="s">
        <v>1307</v>
      </c>
      <c r="D311" s="11" t="s">
        <v>4167</v>
      </c>
      <c r="E311" s="11" t="s">
        <v>4168</v>
      </c>
      <c r="F311" s="11" t="s">
        <v>4169</v>
      </c>
      <c r="G311" s="12" t="s">
        <v>59</v>
      </c>
      <c r="H311" s="12" t="s">
        <v>59</v>
      </c>
      <c r="I311" s="12" t="s">
        <v>508</v>
      </c>
      <c r="J311" s="11" t="s">
        <v>4170</v>
      </c>
      <c r="K311" s="12" t="s">
        <v>62</v>
      </c>
      <c r="L311" s="12" t="s">
        <v>510</v>
      </c>
    </row>
    <row r="312" spans="1:12" ht="26.4" x14ac:dyDescent="0.3">
      <c r="A312" s="10" t="s">
        <v>4171</v>
      </c>
      <c r="B312" s="11" t="s">
        <v>21</v>
      </c>
      <c r="C312" s="11" t="s">
        <v>1313</v>
      </c>
      <c r="D312" s="11" t="s">
        <v>4167</v>
      </c>
      <c r="E312" s="11" t="s">
        <v>4172</v>
      </c>
      <c r="F312" s="11" t="s">
        <v>4173</v>
      </c>
      <c r="G312" s="12" t="s">
        <v>59</v>
      </c>
      <c r="H312" s="12" t="s">
        <v>59</v>
      </c>
      <c r="I312" s="12" t="s">
        <v>508</v>
      </c>
      <c r="J312" s="11" t="s">
        <v>4170</v>
      </c>
      <c r="K312" s="12" t="s">
        <v>62</v>
      </c>
      <c r="L312" s="12" t="s">
        <v>510</v>
      </c>
    </row>
    <row r="313" spans="1:12" ht="26.4" x14ac:dyDescent="0.3">
      <c r="A313" s="10" t="s">
        <v>4174</v>
      </c>
      <c r="B313" s="11" t="s">
        <v>21</v>
      </c>
      <c r="C313" s="11" t="s">
        <v>1317</v>
      </c>
      <c r="D313" s="11" t="s">
        <v>4167</v>
      </c>
      <c r="E313" s="11" t="s">
        <v>4175</v>
      </c>
      <c r="F313" s="11" t="s">
        <v>4176</v>
      </c>
      <c r="G313" s="12" t="s">
        <v>59</v>
      </c>
      <c r="H313" s="12" t="s">
        <v>59</v>
      </c>
      <c r="I313" s="12" t="s">
        <v>508</v>
      </c>
      <c r="J313" s="11" t="s">
        <v>4170</v>
      </c>
      <c r="K313" s="12" t="s">
        <v>62</v>
      </c>
      <c r="L313" s="12" t="s">
        <v>510</v>
      </c>
    </row>
    <row r="314" spans="1:12" ht="26.4" x14ac:dyDescent="0.3">
      <c r="A314" s="10" t="s">
        <v>4177</v>
      </c>
      <c r="B314" s="11" t="s">
        <v>21</v>
      </c>
      <c r="C314" s="11" t="s">
        <v>1321</v>
      </c>
      <c r="D314" s="11" t="s">
        <v>4167</v>
      </c>
      <c r="E314" s="11" t="s">
        <v>4178</v>
      </c>
      <c r="F314" s="11" t="s">
        <v>4179</v>
      </c>
      <c r="G314" s="12" t="s">
        <v>59</v>
      </c>
      <c r="H314" s="12" t="s">
        <v>59</v>
      </c>
      <c r="I314" s="12" t="s">
        <v>508</v>
      </c>
      <c r="J314" s="11" t="s">
        <v>4170</v>
      </c>
      <c r="K314" s="12" t="s">
        <v>62</v>
      </c>
      <c r="L314" s="12" t="s">
        <v>510</v>
      </c>
    </row>
    <row r="315" spans="1:12" ht="26.4" x14ac:dyDescent="0.3">
      <c r="A315" s="10" t="s">
        <v>4180</v>
      </c>
      <c r="B315" s="11" t="s">
        <v>21</v>
      </c>
      <c r="C315" s="11" t="s">
        <v>1325</v>
      </c>
      <c r="D315" s="11" t="s">
        <v>4167</v>
      </c>
      <c r="E315" s="11" t="s">
        <v>4181</v>
      </c>
      <c r="F315" s="11" t="s">
        <v>4182</v>
      </c>
      <c r="G315" s="12" t="s">
        <v>59</v>
      </c>
      <c r="H315" s="12" t="s">
        <v>59</v>
      </c>
      <c r="I315" s="12" t="s">
        <v>508</v>
      </c>
      <c r="J315" s="11" t="s">
        <v>4170</v>
      </c>
      <c r="K315" s="12" t="s">
        <v>62</v>
      </c>
      <c r="L315" s="12" t="s">
        <v>510</v>
      </c>
    </row>
    <row r="316" spans="1:12" ht="39.6" x14ac:dyDescent="0.3">
      <c r="A316" s="10" t="s">
        <v>4183</v>
      </c>
      <c r="B316" s="11" t="s">
        <v>21</v>
      </c>
      <c r="C316" s="11" t="s">
        <v>4184</v>
      </c>
      <c r="D316" s="11" t="s">
        <v>4185</v>
      </c>
      <c r="E316" s="11" t="s">
        <v>4186</v>
      </c>
      <c r="F316" s="11" t="s">
        <v>4187</v>
      </c>
      <c r="G316" s="12" t="s">
        <v>59</v>
      </c>
      <c r="H316" s="12" t="s">
        <v>59</v>
      </c>
      <c r="I316" s="12" t="s">
        <v>508</v>
      </c>
      <c r="J316" s="11" t="s">
        <v>4188</v>
      </c>
      <c r="K316" s="12" t="s">
        <v>62</v>
      </c>
      <c r="L316" s="12" t="s">
        <v>510</v>
      </c>
    </row>
    <row r="317" spans="1:12" ht="39.6" x14ac:dyDescent="0.3">
      <c r="A317" s="10" t="s">
        <v>4189</v>
      </c>
      <c r="B317" s="11" t="s">
        <v>21</v>
      </c>
      <c r="C317" s="11" t="s">
        <v>4190</v>
      </c>
      <c r="D317" s="11" t="s">
        <v>4185</v>
      </c>
      <c r="E317" s="11" t="s">
        <v>4186</v>
      </c>
      <c r="F317" s="11" t="s">
        <v>4191</v>
      </c>
      <c r="G317" s="12" t="s">
        <v>59</v>
      </c>
      <c r="H317" s="12" t="s">
        <v>59</v>
      </c>
      <c r="I317" s="12" t="s">
        <v>508</v>
      </c>
      <c r="J317" s="11" t="s">
        <v>4188</v>
      </c>
      <c r="K317" s="12" t="s">
        <v>62</v>
      </c>
      <c r="L317" s="12" t="s">
        <v>510</v>
      </c>
    </row>
    <row r="318" spans="1:12" ht="26.4" x14ac:dyDescent="0.3">
      <c r="A318" s="10" t="s">
        <v>4192</v>
      </c>
      <c r="B318" s="11" t="s">
        <v>21</v>
      </c>
      <c r="C318" s="11" t="s">
        <v>4193</v>
      </c>
      <c r="D318" s="11" t="s">
        <v>4194</v>
      </c>
      <c r="E318" s="11" t="s">
        <v>4195</v>
      </c>
      <c r="F318" s="11" t="s">
        <v>4196</v>
      </c>
      <c r="G318" s="12" t="s">
        <v>59</v>
      </c>
      <c r="H318" s="12" t="s">
        <v>59</v>
      </c>
      <c r="I318" s="12" t="s">
        <v>508</v>
      </c>
      <c r="J318" s="11" t="s">
        <v>4197</v>
      </c>
      <c r="K318" s="12" t="s">
        <v>62</v>
      </c>
      <c r="L318" s="12" t="s">
        <v>510</v>
      </c>
    </row>
    <row r="319" spans="1:12" ht="26.4" x14ac:dyDescent="0.3">
      <c r="A319" s="10" t="s">
        <v>4198</v>
      </c>
      <c r="B319" s="11" t="s">
        <v>21</v>
      </c>
      <c r="C319" s="11" t="s">
        <v>4199</v>
      </c>
      <c r="D319" s="11" t="s">
        <v>4194</v>
      </c>
      <c r="E319" s="11" t="s">
        <v>4200</v>
      </c>
      <c r="F319" s="11" t="s">
        <v>4196</v>
      </c>
      <c r="G319" s="12" t="s">
        <v>59</v>
      </c>
      <c r="H319" s="12" t="s">
        <v>59</v>
      </c>
      <c r="I319" s="12" t="s">
        <v>508</v>
      </c>
      <c r="J319" s="11" t="s">
        <v>4197</v>
      </c>
      <c r="K319" s="12" t="s">
        <v>62</v>
      </c>
      <c r="L319" s="12" t="s">
        <v>510</v>
      </c>
    </row>
    <row r="320" spans="1:12" ht="26.4" x14ac:dyDescent="0.3">
      <c r="A320" s="10" t="s">
        <v>4201</v>
      </c>
      <c r="B320" s="11" t="s">
        <v>21</v>
      </c>
      <c r="C320" s="11" t="s">
        <v>4202</v>
      </c>
      <c r="D320" s="11" t="s">
        <v>4194</v>
      </c>
      <c r="E320" s="11" t="s">
        <v>4203</v>
      </c>
      <c r="F320" s="11" t="s">
        <v>4196</v>
      </c>
      <c r="G320" s="12" t="s">
        <v>59</v>
      </c>
      <c r="H320" s="12" t="s">
        <v>59</v>
      </c>
      <c r="I320" s="12" t="s">
        <v>508</v>
      </c>
      <c r="J320" s="11" t="s">
        <v>4197</v>
      </c>
      <c r="K320" s="12" t="s">
        <v>62</v>
      </c>
      <c r="L320" s="12" t="s">
        <v>510</v>
      </c>
    </row>
    <row r="321" spans="1:12" ht="26.4" x14ac:dyDescent="0.3">
      <c r="A321" s="10" t="s">
        <v>4204</v>
      </c>
      <c r="B321" s="11" t="s">
        <v>21</v>
      </c>
      <c r="C321" s="11" t="s">
        <v>4205</v>
      </c>
      <c r="D321" s="11" t="s">
        <v>4194</v>
      </c>
      <c r="E321" s="11" t="s">
        <v>4206</v>
      </c>
      <c r="F321" s="11" t="s">
        <v>4196</v>
      </c>
      <c r="G321" s="12" t="s">
        <v>59</v>
      </c>
      <c r="H321" s="12" t="s">
        <v>59</v>
      </c>
      <c r="I321" s="12" t="s">
        <v>508</v>
      </c>
      <c r="J321" s="11" t="s">
        <v>4197</v>
      </c>
      <c r="K321" s="12" t="s">
        <v>62</v>
      </c>
      <c r="L321" s="12" t="s">
        <v>510</v>
      </c>
    </row>
    <row r="322" spans="1:12" ht="26.4" x14ac:dyDescent="0.3">
      <c r="A322" s="10" t="s">
        <v>4207</v>
      </c>
      <c r="B322" s="11" t="s">
        <v>21</v>
      </c>
      <c r="C322" s="11" t="s">
        <v>4208</v>
      </c>
      <c r="D322" s="11" t="s">
        <v>4209</v>
      </c>
      <c r="E322" s="11" t="s">
        <v>4210</v>
      </c>
      <c r="F322" s="11" t="s">
        <v>3986</v>
      </c>
      <c r="G322" s="12" t="s">
        <v>59</v>
      </c>
      <c r="H322" s="12" t="s">
        <v>59</v>
      </c>
      <c r="I322" s="12" t="s">
        <v>508</v>
      </c>
      <c r="J322" s="11" t="s">
        <v>4211</v>
      </c>
      <c r="K322" s="12" t="s">
        <v>62</v>
      </c>
      <c r="L322" s="12" t="s">
        <v>510</v>
      </c>
    </row>
    <row r="323" spans="1:12" ht="26.4" x14ac:dyDescent="0.3">
      <c r="A323" s="10" t="s">
        <v>4212</v>
      </c>
      <c r="B323" s="11" t="s">
        <v>21</v>
      </c>
      <c r="C323" s="11" t="s">
        <v>4213</v>
      </c>
      <c r="D323" s="11" t="s">
        <v>4209</v>
      </c>
      <c r="E323" s="11" t="s">
        <v>4214</v>
      </c>
      <c r="F323" s="11" t="s">
        <v>3991</v>
      </c>
      <c r="G323" s="12" t="s">
        <v>59</v>
      </c>
      <c r="H323" s="12" t="s">
        <v>59</v>
      </c>
      <c r="I323" s="12" t="s">
        <v>508</v>
      </c>
      <c r="J323" s="11" t="s">
        <v>4211</v>
      </c>
      <c r="K323" s="12" t="s">
        <v>62</v>
      </c>
      <c r="L323" s="12" t="s">
        <v>510</v>
      </c>
    </row>
    <row r="324" spans="1:12" ht="26.4" x14ac:dyDescent="0.3">
      <c r="A324" s="10" t="s">
        <v>4215</v>
      </c>
      <c r="B324" s="11" t="s">
        <v>21</v>
      </c>
      <c r="C324" s="11" t="s">
        <v>4216</v>
      </c>
      <c r="D324" s="11" t="s">
        <v>4209</v>
      </c>
      <c r="E324" s="11" t="s">
        <v>4217</v>
      </c>
      <c r="F324" s="11" t="s">
        <v>3991</v>
      </c>
      <c r="G324" s="12" t="s">
        <v>59</v>
      </c>
      <c r="H324" s="12" t="s">
        <v>59</v>
      </c>
      <c r="I324" s="12" t="s">
        <v>508</v>
      </c>
      <c r="J324" s="11" t="s">
        <v>4211</v>
      </c>
      <c r="K324" s="12" t="s">
        <v>62</v>
      </c>
      <c r="L324" s="12" t="s">
        <v>510</v>
      </c>
    </row>
    <row r="325" spans="1:12" ht="26.4" x14ac:dyDescent="0.3">
      <c r="A325" s="10" t="s">
        <v>4218</v>
      </c>
      <c r="B325" s="11" t="s">
        <v>21</v>
      </c>
      <c r="C325" s="11" t="s">
        <v>4219</v>
      </c>
      <c r="D325" s="11" t="s">
        <v>4209</v>
      </c>
      <c r="E325" s="11" t="s">
        <v>4220</v>
      </c>
      <c r="F325" s="11" t="s">
        <v>3991</v>
      </c>
      <c r="G325" s="12" t="s">
        <v>59</v>
      </c>
      <c r="H325" s="12" t="s">
        <v>59</v>
      </c>
      <c r="I325" s="12" t="s">
        <v>508</v>
      </c>
      <c r="J325" s="11" t="s">
        <v>4211</v>
      </c>
      <c r="K325" s="12" t="s">
        <v>62</v>
      </c>
      <c r="L325" s="12" t="s">
        <v>510</v>
      </c>
    </row>
    <row r="326" spans="1:12" ht="26.4" x14ac:dyDescent="0.3">
      <c r="A326" s="10" t="s">
        <v>4221</v>
      </c>
      <c r="B326" s="11" t="s">
        <v>21</v>
      </c>
      <c r="C326" s="11" t="s">
        <v>4222</v>
      </c>
      <c r="D326" s="11" t="s">
        <v>4209</v>
      </c>
      <c r="E326" s="11" t="s">
        <v>4223</v>
      </c>
      <c r="F326" s="11" t="s">
        <v>3991</v>
      </c>
      <c r="G326" s="12" t="s">
        <v>59</v>
      </c>
      <c r="H326" s="12" t="s">
        <v>59</v>
      </c>
      <c r="I326" s="12" t="s">
        <v>508</v>
      </c>
      <c r="J326" s="11" t="s">
        <v>4211</v>
      </c>
      <c r="K326" s="12" t="s">
        <v>62</v>
      </c>
      <c r="L326" s="12" t="s">
        <v>510</v>
      </c>
    </row>
    <row r="327" spans="1:12" ht="26.4" x14ac:dyDescent="0.3">
      <c r="A327" s="10" t="s">
        <v>4224</v>
      </c>
      <c r="B327" s="11" t="s">
        <v>21</v>
      </c>
      <c r="C327" s="11" t="s">
        <v>4225</v>
      </c>
      <c r="D327" s="11" t="s">
        <v>4209</v>
      </c>
      <c r="E327" s="11" t="s">
        <v>4226</v>
      </c>
      <c r="F327" s="11" t="s">
        <v>3991</v>
      </c>
      <c r="G327" s="12" t="s">
        <v>59</v>
      </c>
      <c r="H327" s="12" t="s">
        <v>59</v>
      </c>
      <c r="I327" s="12" t="s">
        <v>508</v>
      </c>
      <c r="J327" s="11" t="s">
        <v>4211</v>
      </c>
      <c r="K327" s="12" t="s">
        <v>62</v>
      </c>
      <c r="L327" s="12" t="s">
        <v>510</v>
      </c>
    </row>
    <row r="328" spans="1:12" ht="26.4" x14ac:dyDescent="0.3">
      <c r="A328" s="10" t="s">
        <v>4227</v>
      </c>
      <c r="B328" s="11" t="s">
        <v>21</v>
      </c>
      <c r="C328" s="11" t="s">
        <v>4228</v>
      </c>
      <c r="D328" s="11" t="s">
        <v>4229</v>
      </c>
      <c r="E328" s="11" t="s">
        <v>4230</v>
      </c>
      <c r="F328" s="11" t="s">
        <v>4231</v>
      </c>
      <c r="G328" s="12" t="s">
        <v>59</v>
      </c>
      <c r="H328" s="12" t="s">
        <v>59</v>
      </c>
      <c r="I328" s="12" t="s">
        <v>508</v>
      </c>
      <c r="J328" s="11" t="s">
        <v>4232</v>
      </c>
      <c r="K328" s="12" t="s">
        <v>62</v>
      </c>
      <c r="L328" s="12" t="s">
        <v>510</v>
      </c>
    </row>
    <row r="329" spans="1:12" ht="26.4" x14ac:dyDescent="0.3">
      <c r="A329" s="10" t="s">
        <v>4233</v>
      </c>
      <c r="B329" s="11" t="s">
        <v>21</v>
      </c>
      <c r="C329" s="11" t="s">
        <v>4234</v>
      </c>
      <c r="D329" s="11" t="s">
        <v>4229</v>
      </c>
      <c r="E329" s="11" t="s">
        <v>4230</v>
      </c>
      <c r="F329" s="11" t="s">
        <v>4235</v>
      </c>
      <c r="G329" s="12" t="s">
        <v>59</v>
      </c>
      <c r="H329" s="12" t="s">
        <v>59</v>
      </c>
      <c r="I329" s="12" t="s">
        <v>508</v>
      </c>
      <c r="J329" s="11" t="s">
        <v>4232</v>
      </c>
      <c r="K329" s="12" t="s">
        <v>62</v>
      </c>
      <c r="L329" s="12" t="s">
        <v>510</v>
      </c>
    </row>
    <row r="330" spans="1:12" ht="26.4" x14ac:dyDescent="0.3">
      <c r="A330" s="10" t="s">
        <v>4236</v>
      </c>
      <c r="B330" s="11" t="s">
        <v>21</v>
      </c>
      <c r="C330" s="11" t="s">
        <v>4237</v>
      </c>
      <c r="D330" s="11" t="s">
        <v>4229</v>
      </c>
      <c r="E330" s="11" t="s">
        <v>4230</v>
      </c>
      <c r="F330" s="11" t="s">
        <v>4235</v>
      </c>
      <c r="G330" s="12" t="s">
        <v>59</v>
      </c>
      <c r="H330" s="12" t="s">
        <v>59</v>
      </c>
      <c r="I330" s="12" t="s">
        <v>508</v>
      </c>
      <c r="J330" s="11" t="s">
        <v>4232</v>
      </c>
      <c r="K330" s="12" t="s">
        <v>62</v>
      </c>
      <c r="L330" s="12" t="s">
        <v>510</v>
      </c>
    </row>
    <row r="331" spans="1:12" ht="26.4" x14ac:dyDescent="0.3">
      <c r="A331" s="10" t="s">
        <v>4238</v>
      </c>
      <c r="B331" s="11" t="s">
        <v>21</v>
      </c>
      <c r="C331" s="11" t="s">
        <v>4239</v>
      </c>
      <c r="D331" s="11" t="s">
        <v>4240</v>
      </c>
      <c r="E331" s="11" t="s">
        <v>4241</v>
      </c>
      <c r="F331" s="11" t="s">
        <v>4242</v>
      </c>
      <c r="G331" s="12" t="s">
        <v>59</v>
      </c>
      <c r="H331" s="12" t="s">
        <v>59</v>
      </c>
      <c r="I331" s="12" t="s">
        <v>508</v>
      </c>
      <c r="J331" s="11" t="s">
        <v>4243</v>
      </c>
      <c r="K331" s="12" t="s">
        <v>62</v>
      </c>
      <c r="L331" s="12" t="s">
        <v>510</v>
      </c>
    </row>
    <row r="332" spans="1:12" ht="26.4" x14ac:dyDescent="0.3">
      <c r="A332" s="10" t="s">
        <v>4244</v>
      </c>
      <c r="B332" s="11" t="s">
        <v>21</v>
      </c>
      <c r="C332" s="11" t="s">
        <v>4245</v>
      </c>
      <c r="D332" s="11" t="s">
        <v>4240</v>
      </c>
      <c r="E332" s="11" t="s">
        <v>4241</v>
      </c>
      <c r="F332" s="11" t="s">
        <v>4242</v>
      </c>
      <c r="G332" s="12" t="s">
        <v>59</v>
      </c>
      <c r="H332" s="12" t="s">
        <v>59</v>
      </c>
      <c r="I332" s="12" t="s">
        <v>508</v>
      </c>
      <c r="J332" s="11" t="s">
        <v>4243</v>
      </c>
      <c r="K332" s="12" t="s">
        <v>62</v>
      </c>
      <c r="L332" s="12" t="s">
        <v>510</v>
      </c>
    </row>
    <row r="333" spans="1:12" ht="26.4" x14ac:dyDescent="0.3">
      <c r="A333" s="10" t="s">
        <v>4246</v>
      </c>
      <c r="B333" s="11" t="s">
        <v>21</v>
      </c>
      <c r="C333" s="11" t="s">
        <v>4247</v>
      </c>
      <c r="D333" s="11" t="s">
        <v>4240</v>
      </c>
      <c r="E333" s="11" t="s">
        <v>4241</v>
      </c>
      <c r="F333" s="11" t="s">
        <v>4242</v>
      </c>
      <c r="G333" s="12" t="s">
        <v>59</v>
      </c>
      <c r="H333" s="12" t="s">
        <v>59</v>
      </c>
      <c r="I333" s="12" t="s">
        <v>508</v>
      </c>
      <c r="J333" s="11" t="s">
        <v>4243</v>
      </c>
      <c r="K333" s="12" t="s">
        <v>62</v>
      </c>
      <c r="L333" s="12" t="s">
        <v>510</v>
      </c>
    </row>
    <row r="334" spans="1:12" ht="26.4" x14ac:dyDescent="0.3">
      <c r="A334" s="10" t="s">
        <v>4248</v>
      </c>
      <c r="B334" s="11" t="s">
        <v>21</v>
      </c>
      <c r="C334" s="11" t="s">
        <v>4249</v>
      </c>
      <c r="D334" s="11" t="s">
        <v>4240</v>
      </c>
      <c r="E334" s="11" t="s">
        <v>4241</v>
      </c>
      <c r="F334" s="11" t="s">
        <v>4250</v>
      </c>
      <c r="G334" s="12" t="s">
        <v>59</v>
      </c>
      <c r="H334" s="12" t="s">
        <v>59</v>
      </c>
      <c r="I334" s="12" t="s">
        <v>508</v>
      </c>
      <c r="J334" s="11" t="s">
        <v>4243</v>
      </c>
      <c r="K334" s="12" t="s">
        <v>62</v>
      </c>
      <c r="L334" s="12" t="s">
        <v>510</v>
      </c>
    </row>
    <row r="335" spans="1:12" ht="26.4" x14ac:dyDescent="0.3">
      <c r="A335" s="10" t="s">
        <v>4251</v>
      </c>
      <c r="B335" s="11" t="s">
        <v>21</v>
      </c>
      <c r="C335" s="11" t="s">
        <v>4252</v>
      </c>
      <c r="D335" s="11" t="s">
        <v>4253</v>
      </c>
      <c r="E335" s="11" t="s">
        <v>4254</v>
      </c>
      <c r="F335" s="11" t="s">
        <v>4255</v>
      </c>
      <c r="G335" s="12" t="s">
        <v>59</v>
      </c>
      <c r="H335" s="12" t="s">
        <v>59</v>
      </c>
      <c r="I335" s="12" t="s">
        <v>508</v>
      </c>
      <c r="J335" s="11" t="s">
        <v>4256</v>
      </c>
      <c r="K335" s="12" t="s">
        <v>62</v>
      </c>
      <c r="L335" s="12" t="s">
        <v>510</v>
      </c>
    </row>
    <row r="336" spans="1:12" ht="26.4" x14ac:dyDescent="0.3">
      <c r="A336" s="10" t="s">
        <v>4257</v>
      </c>
      <c r="B336" s="11" t="s">
        <v>21</v>
      </c>
      <c r="C336" s="11" t="s">
        <v>4258</v>
      </c>
      <c r="D336" s="11" t="s">
        <v>4253</v>
      </c>
      <c r="E336" s="11" t="s">
        <v>4254</v>
      </c>
      <c r="F336" s="11" t="s">
        <v>4255</v>
      </c>
      <c r="G336" s="12" t="s">
        <v>59</v>
      </c>
      <c r="H336" s="12" t="s">
        <v>59</v>
      </c>
      <c r="I336" s="12" t="s">
        <v>508</v>
      </c>
      <c r="J336" s="11" t="s">
        <v>4256</v>
      </c>
      <c r="K336" s="12" t="s">
        <v>62</v>
      </c>
      <c r="L336" s="12" t="s">
        <v>510</v>
      </c>
    </row>
    <row r="337" spans="1:12" ht="26.4" x14ac:dyDescent="0.3">
      <c r="A337" s="10" t="s">
        <v>4259</v>
      </c>
      <c r="B337" s="11" t="s">
        <v>21</v>
      </c>
      <c r="C337" s="11" t="s">
        <v>4260</v>
      </c>
      <c r="D337" s="11" t="s">
        <v>4253</v>
      </c>
      <c r="E337" s="11" t="s">
        <v>4254</v>
      </c>
      <c r="F337" s="11" t="s">
        <v>4261</v>
      </c>
      <c r="G337" s="12" t="s">
        <v>59</v>
      </c>
      <c r="H337" s="12" t="s">
        <v>59</v>
      </c>
      <c r="I337" s="12" t="s">
        <v>508</v>
      </c>
      <c r="J337" s="11" t="s">
        <v>4256</v>
      </c>
      <c r="K337" s="12" t="s">
        <v>62</v>
      </c>
      <c r="L337" s="12" t="s">
        <v>510</v>
      </c>
    </row>
    <row r="338" spans="1:12" ht="26.4" x14ac:dyDescent="0.3">
      <c r="A338" s="10" t="s">
        <v>4262</v>
      </c>
      <c r="B338" s="11" t="s">
        <v>21</v>
      </c>
      <c r="C338" s="11" t="s">
        <v>4263</v>
      </c>
      <c r="D338" s="11" t="s">
        <v>4253</v>
      </c>
      <c r="E338" s="11" t="s">
        <v>4254</v>
      </c>
      <c r="F338" s="11" t="s">
        <v>4264</v>
      </c>
      <c r="G338" s="12" t="s">
        <v>59</v>
      </c>
      <c r="H338" s="12" t="s">
        <v>59</v>
      </c>
      <c r="I338" s="12" t="s">
        <v>508</v>
      </c>
      <c r="J338" s="11" t="s">
        <v>4256</v>
      </c>
      <c r="K338" s="12" t="s">
        <v>62</v>
      </c>
      <c r="L338" s="12" t="s">
        <v>510</v>
      </c>
    </row>
    <row r="339" spans="1:12" ht="26.4" x14ac:dyDescent="0.3">
      <c r="A339" s="10" t="s">
        <v>4265</v>
      </c>
      <c r="B339" s="11" t="s">
        <v>21</v>
      </c>
      <c r="C339" s="11" t="s">
        <v>4266</v>
      </c>
      <c r="D339" s="11" t="s">
        <v>4253</v>
      </c>
      <c r="E339" s="11" t="s">
        <v>4254</v>
      </c>
      <c r="F339" s="11" t="s">
        <v>4267</v>
      </c>
      <c r="G339" s="12" t="s">
        <v>59</v>
      </c>
      <c r="H339" s="12" t="s">
        <v>59</v>
      </c>
      <c r="I339" s="12" t="s">
        <v>508</v>
      </c>
      <c r="J339" s="11" t="s">
        <v>4256</v>
      </c>
      <c r="K339" s="12" t="s">
        <v>62</v>
      </c>
      <c r="L339" s="12" t="s">
        <v>510</v>
      </c>
    </row>
    <row r="340" spans="1:12" ht="39.6" x14ac:dyDescent="0.3">
      <c r="A340" s="10" t="s">
        <v>4268</v>
      </c>
      <c r="B340" s="11" t="s">
        <v>21</v>
      </c>
      <c r="C340" s="11" t="s">
        <v>4269</v>
      </c>
      <c r="D340" s="11" t="s">
        <v>4270</v>
      </c>
      <c r="E340" s="11" t="s">
        <v>4271</v>
      </c>
      <c r="F340" s="11" t="s">
        <v>4272</v>
      </c>
      <c r="G340" s="12" t="s">
        <v>59</v>
      </c>
      <c r="H340" s="12" t="s">
        <v>59</v>
      </c>
      <c r="I340" s="12" t="s">
        <v>508</v>
      </c>
      <c r="J340" s="11" t="s">
        <v>4273</v>
      </c>
      <c r="K340" s="12" t="s">
        <v>62</v>
      </c>
      <c r="L340" s="12" t="s">
        <v>510</v>
      </c>
    </row>
    <row r="341" spans="1:12" ht="39.6" x14ac:dyDescent="0.3">
      <c r="A341" s="10" t="s">
        <v>4274</v>
      </c>
      <c r="B341" s="11" t="s">
        <v>21</v>
      </c>
      <c r="C341" s="11" t="s">
        <v>4275</v>
      </c>
      <c r="D341" s="11" t="s">
        <v>4270</v>
      </c>
      <c r="E341" s="11" t="s">
        <v>4271</v>
      </c>
      <c r="F341" s="11" t="s">
        <v>4276</v>
      </c>
      <c r="G341" s="12" t="s">
        <v>59</v>
      </c>
      <c r="H341" s="12" t="s">
        <v>59</v>
      </c>
      <c r="I341" s="12" t="s">
        <v>508</v>
      </c>
      <c r="J341" s="11" t="s">
        <v>4273</v>
      </c>
      <c r="K341" s="12" t="s">
        <v>62</v>
      </c>
      <c r="L341" s="12" t="s">
        <v>510</v>
      </c>
    </row>
    <row r="342" spans="1:12" ht="26.4" x14ac:dyDescent="0.3">
      <c r="A342" s="10" t="s">
        <v>4277</v>
      </c>
      <c r="B342" s="11" t="s">
        <v>21</v>
      </c>
      <c r="C342" s="11" t="s">
        <v>4278</v>
      </c>
      <c r="D342" s="11" t="s">
        <v>4279</v>
      </c>
      <c r="E342" s="11" t="s">
        <v>4280</v>
      </c>
      <c r="F342" s="11" t="s">
        <v>4281</v>
      </c>
      <c r="G342" s="12" t="s">
        <v>59</v>
      </c>
      <c r="H342" s="12" t="s">
        <v>59</v>
      </c>
      <c r="I342" s="12" t="s">
        <v>508</v>
      </c>
      <c r="J342" s="11" t="s">
        <v>4282</v>
      </c>
      <c r="K342" s="12" t="s">
        <v>62</v>
      </c>
      <c r="L342" s="12" t="s">
        <v>510</v>
      </c>
    </row>
    <row r="343" spans="1:12" ht="26.4" x14ac:dyDescent="0.3">
      <c r="A343" s="10" t="s">
        <v>4283</v>
      </c>
      <c r="B343" s="11" t="s">
        <v>21</v>
      </c>
      <c r="C343" s="11" t="s">
        <v>4284</v>
      </c>
      <c r="D343" s="11" t="s">
        <v>4279</v>
      </c>
      <c r="E343" s="11" t="s">
        <v>4285</v>
      </c>
      <c r="F343" s="11" t="s">
        <v>4286</v>
      </c>
      <c r="G343" s="12" t="s">
        <v>59</v>
      </c>
      <c r="H343" s="12" t="s">
        <v>59</v>
      </c>
      <c r="I343" s="12" t="s">
        <v>508</v>
      </c>
      <c r="J343" s="11" t="s">
        <v>4282</v>
      </c>
      <c r="K343" s="12" t="s">
        <v>62</v>
      </c>
      <c r="L343" s="12" t="s">
        <v>510</v>
      </c>
    </row>
    <row r="344" spans="1:12" ht="26.4" x14ac:dyDescent="0.3">
      <c r="A344" s="10" t="s">
        <v>4287</v>
      </c>
      <c r="B344" s="11" t="s">
        <v>21</v>
      </c>
      <c r="C344" s="11" t="s">
        <v>4288</v>
      </c>
      <c r="D344" s="11" t="s">
        <v>4279</v>
      </c>
      <c r="E344" s="11" t="s">
        <v>4289</v>
      </c>
      <c r="F344" s="11" t="s">
        <v>4290</v>
      </c>
      <c r="G344" s="12" t="s">
        <v>59</v>
      </c>
      <c r="H344" s="12" t="s">
        <v>59</v>
      </c>
      <c r="I344" s="12" t="s">
        <v>508</v>
      </c>
      <c r="J344" s="11" t="s">
        <v>4282</v>
      </c>
      <c r="K344" s="12" t="s">
        <v>62</v>
      </c>
      <c r="L344" s="12" t="s">
        <v>510</v>
      </c>
    </row>
  </sheetData>
  <autoFilter ref="A4:L344" xr:uid="{00000000-0009-0000-0000-000002000000}"/>
  <mergeCells count="2">
    <mergeCell ref="A2:L2"/>
    <mergeCell ref="A1:L1"/>
  </mergeCells>
  <conditionalFormatting sqref="G5:H344">
    <cfRule type="cellIs" dxfId="3" priority="1" operator="equal">
      <formula>"Fail"</formula>
    </cfRule>
    <cfRule type="cellIs" dxfId="2" priority="2" operator="equal">
      <formula>"Pass"</formula>
    </cfRule>
  </conditionalFormatting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  <pageSetUpPr fitToPage="1"/>
  </sheetPr>
  <dimension ref="A1:L154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26" customWidth="1"/>
    <col min="3" max="3" width="40" customWidth="1"/>
    <col min="4" max="4" width="42" customWidth="1"/>
    <col min="5" max="5" width="34" customWidth="1"/>
    <col min="6" max="6" width="44" customWidth="1"/>
    <col min="7" max="8" width="11" customWidth="1"/>
    <col min="9" max="9" width="20" customWidth="1"/>
    <col min="10" max="10" width="42" customWidth="1"/>
    <col min="11" max="11" width="18" customWidth="1"/>
    <col min="12" max="12" width="13" customWidth="1"/>
  </cols>
  <sheetData>
    <row r="1" spans="1:12" ht="18.600000000000001" x14ac:dyDescent="0.3">
      <c r="A1" s="24" t="s">
        <v>4291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30" customHeight="1" x14ac:dyDescent="0.3">
      <c r="A2" s="22" t="s">
        <v>43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4" spans="1:12" ht="31.95" customHeight="1" x14ac:dyDescent="0.3">
      <c r="A4" s="1" t="s">
        <v>44</v>
      </c>
      <c r="B4" s="1" t="s">
        <v>3</v>
      </c>
      <c r="C4" s="1" t="s">
        <v>45</v>
      </c>
      <c r="D4" s="1" t="s">
        <v>46</v>
      </c>
      <c r="E4" s="1" t="s">
        <v>47</v>
      </c>
      <c r="F4" s="1" t="s">
        <v>48</v>
      </c>
      <c r="G4" s="1" t="s">
        <v>49</v>
      </c>
      <c r="H4" s="1" t="s">
        <v>50</v>
      </c>
      <c r="I4" s="1" t="s">
        <v>31</v>
      </c>
      <c r="J4" s="1" t="s">
        <v>51</v>
      </c>
      <c r="K4" s="1" t="s">
        <v>52</v>
      </c>
      <c r="L4" s="1" t="s">
        <v>53</v>
      </c>
    </row>
    <row r="5" spans="1:12" ht="26.4" x14ac:dyDescent="0.3">
      <c r="A5" s="10" t="s">
        <v>4292</v>
      </c>
      <c r="B5" s="11" t="s">
        <v>24</v>
      </c>
      <c r="C5" s="11" t="s">
        <v>4293</v>
      </c>
      <c r="D5" s="11" t="s">
        <v>4294</v>
      </c>
      <c r="E5" s="11" t="s">
        <v>1951</v>
      </c>
      <c r="F5" s="11" t="s">
        <v>4295</v>
      </c>
      <c r="G5" s="12" t="s">
        <v>59</v>
      </c>
      <c r="H5" s="12" t="s">
        <v>59</v>
      </c>
      <c r="I5" s="12" t="s">
        <v>60</v>
      </c>
      <c r="J5" s="11" t="s">
        <v>4296</v>
      </c>
      <c r="K5" s="12" t="s">
        <v>62</v>
      </c>
      <c r="L5" s="12" t="s">
        <v>4297</v>
      </c>
    </row>
    <row r="6" spans="1:12" ht="26.4" x14ac:dyDescent="0.3">
      <c r="A6" s="10" t="s">
        <v>4298</v>
      </c>
      <c r="B6" s="11" t="s">
        <v>24</v>
      </c>
      <c r="C6" s="11" t="s">
        <v>4299</v>
      </c>
      <c r="D6" s="11" t="s">
        <v>4300</v>
      </c>
      <c r="E6" s="11" t="s">
        <v>1951</v>
      </c>
      <c r="F6" s="11" t="s">
        <v>4301</v>
      </c>
      <c r="G6" s="12" t="s">
        <v>59</v>
      </c>
      <c r="H6" s="12" t="s">
        <v>59</v>
      </c>
      <c r="I6" s="12" t="s">
        <v>60</v>
      </c>
      <c r="J6" s="11" t="s">
        <v>4296</v>
      </c>
      <c r="K6" s="12" t="s">
        <v>62</v>
      </c>
      <c r="L6" s="12" t="s">
        <v>4297</v>
      </c>
    </row>
    <row r="7" spans="1:12" ht="26.4" x14ac:dyDescent="0.3">
      <c r="A7" s="10" t="s">
        <v>4302</v>
      </c>
      <c r="B7" s="11" t="s">
        <v>24</v>
      </c>
      <c r="C7" s="11" t="s">
        <v>4303</v>
      </c>
      <c r="D7" s="11" t="s">
        <v>4304</v>
      </c>
      <c r="E7" s="11" t="s">
        <v>1951</v>
      </c>
      <c r="F7" s="11" t="s">
        <v>4305</v>
      </c>
      <c r="G7" s="12" t="s">
        <v>59</v>
      </c>
      <c r="H7" s="12" t="s">
        <v>59</v>
      </c>
      <c r="I7" s="12" t="s">
        <v>60</v>
      </c>
      <c r="J7" s="11" t="s">
        <v>4296</v>
      </c>
      <c r="K7" s="12" t="s">
        <v>62</v>
      </c>
      <c r="L7" s="12" t="s">
        <v>4297</v>
      </c>
    </row>
    <row r="8" spans="1:12" ht="26.4" x14ac:dyDescent="0.3">
      <c r="A8" s="10" t="s">
        <v>4306</v>
      </c>
      <c r="B8" s="11" t="s">
        <v>24</v>
      </c>
      <c r="C8" s="11" t="s">
        <v>4307</v>
      </c>
      <c r="D8" s="11" t="s">
        <v>4308</v>
      </c>
      <c r="E8" s="11" t="s">
        <v>1951</v>
      </c>
      <c r="F8" s="11" t="s">
        <v>4309</v>
      </c>
      <c r="G8" s="12" t="s">
        <v>59</v>
      </c>
      <c r="H8" s="12" t="s">
        <v>59</v>
      </c>
      <c r="I8" s="12" t="s">
        <v>60</v>
      </c>
      <c r="J8" s="11" t="s">
        <v>4296</v>
      </c>
      <c r="K8" s="12" t="s">
        <v>62</v>
      </c>
      <c r="L8" s="12" t="s">
        <v>4297</v>
      </c>
    </row>
    <row r="9" spans="1:12" ht="26.4" x14ac:dyDescent="0.3">
      <c r="A9" s="10" t="s">
        <v>4310</v>
      </c>
      <c r="B9" s="11" t="s">
        <v>24</v>
      </c>
      <c r="C9" s="11" t="s">
        <v>4311</v>
      </c>
      <c r="D9" s="11" t="s">
        <v>4312</v>
      </c>
      <c r="E9" s="11" t="s">
        <v>1951</v>
      </c>
      <c r="F9" s="11" t="s">
        <v>4313</v>
      </c>
      <c r="G9" s="12" t="s">
        <v>59</v>
      </c>
      <c r="H9" s="12" t="s">
        <v>59</v>
      </c>
      <c r="I9" s="12" t="s">
        <v>60</v>
      </c>
      <c r="J9" s="11" t="s">
        <v>4296</v>
      </c>
      <c r="K9" s="12" t="s">
        <v>62</v>
      </c>
      <c r="L9" s="12" t="s">
        <v>4297</v>
      </c>
    </row>
    <row r="10" spans="1:12" ht="26.4" x14ac:dyDescent="0.3">
      <c r="A10" s="10" t="s">
        <v>4314</v>
      </c>
      <c r="B10" s="11" t="s">
        <v>24</v>
      </c>
      <c r="C10" s="11" t="s">
        <v>4315</v>
      </c>
      <c r="D10" s="11" t="s">
        <v>4316</v>
      </c>
      <c r="E10" s="11" t="s">
        <v>3096</v>
      </c>
      <c r="F10" s="11" t="s">
        <v>4317</v>
      </c>
      <c r="G10" s="12" t="s">
        <v>59</v>
      </c>
      <c r="H10" s="12" t="s">
        <v>59</v>
      </c>
      <c r="I10" s="12" t="s">
        <v>60</v>
      </c>
      <c r="J10" s="11" t="s">
        <v>4296</v>
      </c>
      <c r="K10" s="12" t="s">
        <v>62</v>
      </c>
      <c r="L10" s="12" t="s">
        <v>4297</v>
      </c>
    </row>
    <row r="11" spans="1:12" ht="26.4" x14ac:dyDescent="0.3">
      <c r="A11" s="10" t="s">
        <v>4318</v>
      </c>
      <c r="B11" s="11" t="s">
        <v>24</v>
      </c>
      <c r="C11" s="11" t="s">
        <v>3094</v>
      </c>
      <c r="D11" s="11" t="s">
        <v>4319</v>
      </c>
      <c r="E11" s="11" t="s">
        <v>3096</v>
      </c>
      <c r="F11" s="11" t="s">
        <v>4320</v>
      </c>
      <c r="G11" s="12" t="s">
        <v>59</v>
      </c>
      <c r="H11" s="12" t="s">
        <v>59</v>
      </c>
      <c r="I11" s="12" t="s">
        <v>60</v>
      </c>
      <c r="J11" s="11" t="s">
        <v>4296</v>
      </c>
      <c r="K11" s="12" t="s">
        <v>62</v>
      </c>
      <c r="L11" s="12" t="s">
        <v>4297</v>
      </c>
    </row>
    <row r="12" spans="1:12" ht="26.4" x14ac:dyDescent="0.3">
      <c r="A12" s="10" t="s">
        <v>4321</v>
      </c>
      <c r="B12" s="11" t="s">
        <v>24</v>
      </c>
      <c r="C12" s="11" t="s">
        <v>3100</v>
      </c>
      <c r="D12" s="11" t="s">
        <v>4322</v>
      </c>
      <c r="E12" s="11" t="s">
        <v>3096</v>
      </c>
      <c r="F12" s="11" t="s">
        <v>4323</v>
      </c>
      <c r="G12" s="12" t="s">
        <v>59</v>
      </c>
      <c r="H12" s="12" t="s">
        <v>59</v>
      </c>
      <c r="I12" s="12" t="s">
        <v>60</v>
      </c>
      <c r="J12" s="11" t="s">
        <v>4296</v>
      </c>
      <c r="K12" s="12" t="s">
        <v>62</v>
      </c>
      <c r="L12" s="12" t="s">
        <v>4297</v>
      </c>
    </row>
    <row r="13" spans="1:12" ht="26.4" x14ac:dyDescent="0.3">
      <c r="A13" s="10" t="s">
        <v>4324</v>
      </c>
      <c r="B13" s="11" t="s">
        <v>24</v>
      </c>
      <c r="C13" s="11" t="s">
        <v>4325</v>
      </c>
      <c r="D13" s="11" t="s">
        <v>3450</v>
      </c>
      <c r="E13" s="11" t="s">
        <v>1465</v>
      </c>
      <c r="F13" s="11" t="s">
        <v>4326</v>
      </c>
      <c r="G13" s="12" t="s">
        <v>59</v>
      </c>
      <c r="H13" s="12" t="s">
        <v>59</v>
      </c>
      <c r="I13" s="12" t="s">
        <v>60</v>
      </c>
      <c r="J13" s="11" t="s">
        <v>4296</v>
      </c>
      <c r="K13" s="12" t="s">
        <v>62</v>
      </c>
      <c r="L13" s="12" t="s">
        <v>4297</v>
      </c>
    </row>
    <row r="14" spans="1:12" ht="26.4" x14ac:dyDescent="0.3">
      <c r="A14" s="10" t="s">
        <v>4327</v>
      </c>
      <c r="B14" s="11" t="s">
        <v>24</v>
      </c>
      <c r="C14" s="11" t="s">
        <v>4328</v>
      </c>
      <c r="D14" s="11" t="s">
        <v>4329</v>
      </c>
      <c r="E14" s="11" t="s">
        <v>1951</v>
      </c>
      <c r="F14" s="11" t="s">
        <v>4330</v>
      </c>
      <c r="G14" s="12" t="s">
        <v>59</v>
      </c>
      <c r="H14" s="12" t="s">
        <v>59</v>
      </c>
      <c r="I14" s="12" t="s">
        <v>60</v>
      </c>
      <c r="J14" s="11" t="s">
        <v>4296</v>
      </c>
      <c r="K14" s="12" t="s">
        <v>62</v>
      </c>
      <c r="L14" s="12" t="s">
        <v>4297</v>
      </c>
    </row>
    <row r="15" spans="1:12" ht="52.8" x14ac:dyDescent="0.3">
      <c r="A15" s="10" t="s">
        <v>4331</v>
      </c>
      <c r="B15" s="11" t="s">
        <v>24</v>
      </c>
      <c r="C15" s="11" t="s">
        <v>4332</v>
      </c>
      <c r="D15" s="11" t="s">
        <v>4333</v>
      </c>
      <c r="E15" s="11" t="s">
        <v>4334</v>
      </c>
      <c r="F15" s="11" t="s">
        <v>4335</v>
      </c>
      <c r="G15" s="12" t="s">
        <v>1513</v>
      </c>
      <c r="H15" s="12" t="s">
        <v>59</v>
      </c>
      <c r="I15" s="12" t="s">
        <v>60</v>
      </c>
      <c r="J15" s="11" t="s">
        <v>4296</v>
      </c>
      <c r="K15" s="12" t="s">
        <v>62</v>
      </c>
      <c r="L15" s="12" t="s">
        <v>4297</v>
      </c>
    </row>
    <row r="16" spans="1:12" ht="26.4" x14ac:dyDescent="0.3">
      <c r="A16" s="10" t="s">
        <v>4336</v>
      </c>
      <c r="B16" s="11" t="s">
        <v>24</v>
      </c>
      <c r="C16" s="11" t="s">
        <v>4337</v>
      </c>
      <c r="D16" s="11" t="s">
        <v>4338</v>
      </c>
      <c r="E16" s="11" t="s">
        <v>4339</v>
      </c>
      <c r="F16" s="11" t="s">
        <v>4340</v>
      </c>
      <c r="G16" s="12" t="s">
        <v>59</v>
      </c>
      <c r="H16" s="12" t="s">
        <v>59</v>
      </c>
      <c r="I16" s="12" t="s">
        <v>508</v>
      </c>
      <c r="J16" s="11" t="s">
        <v>4341</v>
      </c>
      <c r="K16" s="12" t="s">
        <v>62</v>
      </c>
      <c r="L16" s="12" t="s">
        <v>510</v>
      </c>
    </row>
    <row r="17" spans="1:12" ht="26.4" x14ac:dyDescent="0.3">
      <c r="A17" s="10" t="s">
        <v>4342</v>
      </c>
      <c r="B17" s="11" t="s">
        <v>24</v>
      </c>
      <c r="C17" s="11" t="s">
        <v>4343</v>
      </c>
      <c r="D17" s="11" t="s">
        <v>4338</v>
      </c>
      <c r="E17" s="11" t="s">
        <v>4344</v>
      </c>
      <c r="F17" s="11" t="s">
        <v>4340</v>
      </c>
      <c r="G17" s="12" t="s">
        <v>59</v>
      </c>
      <c r="H17" s="12" t="s">
        <v>59</v>
      </c>
      <c r="I17" s="12" t="s">
        <v>508</v>
      </c>
      <c r="J17" s="11" t="s">
        <v>4341</v>
      </c>
      <c r="K17" s="12" t="s">
        <v>62</v>
      </c>
      <c r="L17" s="12" t="s">
        <v>510</v>
      </c>
    </row>
    <row r="18" spans="1:12" ht="26.4" x14ac:dyDescent="0.3">
      <c r="A18" s="10" t="s">
        <v>4345</v>
      </c>
      <c r="B18" s="11" t="s">
        <v>24</v>
      </c>
      <c r="C18" s="11" t="s">
        <v>4346</v>
      </c>
      <c r="D18" s="11" t="s">
        <v>4338</v>
      </c>
      <c r="E18" s="11" t="s">
        <v>4347</v>
      </c>
      <c r="F18" s="11" t="s">
        <v>4340</v>
      </c>
      <c r="G18" s="12" t="s">
        <v>59</v>
      </c>
      <c r="H18" s="12" t="s">
        <v>59</v>
      </c>
      <c r="I18" s="12" t="s">
        <v>508</v>
      </c>
      <c r="J18" s="11" t="s">
        <v>4341</v>
      </c>
      <c r="K18" s="12" t="s">
        <v>62</v>
      </c>
      <c r="L18" s="12" t="s">
        <v>510</v>
      </c>
    </row>
    <row r="19" spans="1:12" ht="26.4" x14ac:dyDescent="0.3">
      <c r="A19" s="10" t="s">
        <v>4348</v>
      </c>
      <c r="B19" s="11" t="s">
        <v>24</v>
      </c>
      <c r="C19" s="11" t="s">
        <v>4349</v>
      </c>
      <c r="D19" s="11" t="s">
        <v>4338</v>
      </c>
      <c r="E19" s="11" t="s">
        <v>4350</v>
      </c>
      <c r="F19" s="11" t="s">
        <v>4340</v>
      </c>
      <c r="G19" s="12" t="s">
        <v>59</v>
      </c>
      <c r="H19" s="12" t="s">
        <v>59</v>
      </c>
      <c r="I19" s="12" t="s">
        <v>508</v>
      </c>
      <c r="J19" s="11" t="s">
        <v>4341</v>
      </c>
      <c r="K19" s="12" t="s">
        <v>62</v>
      </c>
      <c r="L19" s="12" t="s">
        <v>510</v>
      </c>
    </row>
    <row r="20" spans="1:12" ht="26.4" x14ac:dyDescent="0.3">
      <c r="A20" s="10" t="s">
        <v>4351</v>
      </c>
      <c r="B20" s="11" t="s">
        <v>24</v>
      </c>
      <c r="C20" s="11" t="s">
        <v>4352</v>
      </c>
      <c r="D20" s="11" t="s">
        <v>4338</v>
      </c>
      <c r="E20" s="11" t="s">
        <v>4353</v>
      </c>
      <c r="F20" s="11" t="s">
        <v>4340</v>
      </c>
      <c r="G20" s="12" t="s">
        <v>59</v>
      </c>
      <c r="H20" s="12" t="s">
        <v>59</v>
      </c>
      <c r="I20" s="12" t="s">
        <v>508</v>
      </c>
      <c r="J20" s="11" t="s">
        <v>4341</v>
      </c>
      <c r="K20" s="12" t="s">
        <v>62</v>
      </c>
      <c r="L20" s="12" t="s">
        <v>510</v>
      </c>
    </row>
    <row r="21" spans="1:12" ht="26.4" x14ac:dyDescent="0.3">
      <c r="A21" s="10" t="s">
        <v>4354</v>
      </c>
      <c r="B21" s="11" t="s">
        <v>24</v>
      </c>
      <c r="C21" s="11" t="s">
        <v>4355</v>
      </c>
      <c r="D21" s="11" t="s">
        <v>4338</v>
      </c>
      <c r="E21" s="11" t="s">
        <v>4356</v>
      </c>
      <c r="F21" s="11" t="s">
        <v>4340</v>
      </c>
      <c r="G21" s="12" t="s">
        <v>59</v>
      </c>
      <c r="H21" s="12" t="s">
        <v>59</v>
      </c>
      <c r="I21" s="12" t="s">
        <v>508</v>
      </c>
      <c r="J21" s="11" t="s">
        <v>4341</v>
      </c>
      <c r="K21" s="12" t="s">
        <v>62</v>
      </c>
      <c r="L21" s="12" t="s">
        <v>510</v>
      </c>
    </row>
    <row r="22" spans="1:12" ht="26.4" x14ac:dyDescent="0.3">
      <c r="A22" s="10" t="s">
        <v>4357</v>
      </c>
      <c r="B22" s="11" t="s">
        <v>24</v>
      </c>
      <c r="C22" s="11" t="s">
        <v>4358</v>
      </c>
      <c r="D22" s="11" t="s">
        <v>4359</v>
      </c>
      <c r="E22" s="11" t="s">
        <v>4304</v>
      </c>
      <c r="F22" s="11" t="s">
        <v>4360</v>
      </c>
      <c r="G22" s="12" t="s">
        <v>59</v>
      </c>
      <c r="H22" s="12" t="s">
        <v>59</v>
      </c>
      <c r="I22" s="12" t="s">
        <v>508</v>
      </c>
      <c r="J22" s="11" t="s">
        <v>4361</v>
      </c>
      <c r="K22" s="12" t="s">
        <v>62</v>
      </c>
      <c r="L22" s="12" t="s">
        <v>510</v>
      </c>
    </row>
    <row r="23" spans="1:12" ht="26.4" x14ac:dyDescent="0.3">
      <c r="A23" s="10" t="s">
        <v>4362</v>
      </c>
      <c r="B23" s="11" t="s">
        <v>24</v>
      </c>
      <c r="C23" s="11" t="s">
        <v>4363</v>
      </c>
      <c r="D23" s="11" t="s">
        <v>4359</v>
      </c>
      <c r="E23" s="11" t="s">
        <v>4304</v>
      </c>
      <c r="F23" s="11" t="s">
        <v>4364</v>
      </c>
      <c r="G23" s="12" t="s">
        <v>59</v>
      </c>
      <c r="H23" s="12" t="s">
        <v>59</v>
      </c>
      <c r="I23" s="12" t="s">
        <v>508</v>
      </c>
      <c r="J23" s="11" t="s">
        <v>4361</v>
      </c>
      <c r="K23" s="12" t="s">
        <v>62</v>
      </c>
      <c r="L23" s="12" t="s">
        <v>510</v>
      </c>
    </row>
    <row r="24" spans="1:12" ht="26.4" x14ac:dyDescent="0.3">
      <c r="A24" s="10" t="s">
        <v>4365</v>
      </c>
      <c r="B24" s="11" t="s">
        <v>24</v>
      </c>
      <c r="C24" s="11" t="s">
        <v>4366</v>
      </c>
      <c r="D24" s="11" t="s">
        <v>4359</v>
      </c>
      <c r="E24" s="11" t="s">
        <v>4312</v>
      </c>
      <c r="F24" s="11" t="s">
        <v>4360</v>
      </c>
      <c r="G24" s="12" t="s">
        <v>59</v>
      </c>
      <c r="H24" s="12" t="s">
        <v>59</v>
      </c>
      <c r="I24" s="12" t="s">
        <v>508</v>
      </c>
      <c r="J24" s="11" t="s">
        <v>4361</v>
      </c>
      <c r="K24" s="12" t="s">
        <v>62</v>
      </c>
      <c r="L24" s="12" t="s">
        <v>510</v>
      </c>
    </row>
    <row r="25" spans="1:12" ht="26.4" x14ac:dyDescent="0.3">
      <c r="A25" s="10" t="s">
        <v>4367</v>
      </c>
      <c r="B25" s="11" t="s">
        <v>24</v>
      </c>
      <c r="C25" s="11" t="s">
        <v>4368</v>
      </c>
      <c r="D25" s="11" t="s">
        <v>4359</v>
      </c>
      <c r="E25" s="11" t="s">
        <v>4312</v>
      </c>
      <c r="F25" s="11" t="s">
        <v>4364</v>
      </c>
      <c r="G25" s="12" t="s">
        <v>59</v>
      </c>
      <c r="H25" s="12" t="s">
        <v>59</v>
      </c>
      <c r="I25" s="12" t="s">
        <v>508</v>
      </c>
      <c r="J25" s="11" t="s">
        <v>4361</v>
      </c>
      <c r="K25" s="12" t="s">
        <v>62</v>
      </c>
      <c r="L25" s="12" t="s">
        <v>510</v>
      </c>
    </row>
    <row r="26" spans="1:12" ht="26.4" x14ac:dyDescent="0.3">
      <c r="A26" s="10" t="s">
        <v>4369</v>
      </c>
      <c r="B26" s="11" t="s">
        <v>24</v>
      </c>
      <c r="C26" s="11" t="s">
        <v>4370</v>
      </c>
      <c r="D26" s="11" t="s">
        <v>4359</v>
      </c>
      <c r="E26" s="11" t="s">
        <v>4371</v>
      </c>
      <c r="F26" s="11" t="s">
        <v>4372</v>
      </c>
      <c r="G26" s="12" t="s">
        <v>59</v>
      </c>
      <c r="H26" s="12" t="s">
        <v>59</v>
      </c>
      <c r="I26" s="12" t="s">
        <v>508</v>
      </c>
      <c r="J26" s="11" t="s">
        <v>4361</v>
      </c>
      <c r="K26" s="12" t="s">
        <v>62</v>
      </c>
      <c r="L26" s="12" t="s">
        <v>510</v>
      </c>
    </row>
    <row r="27" spans="1:12" ht="26.4" x14ac:dyDescent="0.3">
      <c r="A27" s="10" t="s">
        <v>4373</v>
      </c>
      <c r="B27" s="11" t="s">
        <v>24</v>
      </c>
      <c r="C27" s="11" t="s">
        <v>4374</v>
      </c>
      <c r="D27" s="11" t="s">
        <v>4375</v>
      </c>
      <c r="E27" s="11" t="s">
        <v>4376</v>
      </c>
      <c r="F27" s="11" t="s">
        <v>4377</v>
      </c>
      <c r="G27" s="12" t="s">
        <v>59</v>
      </c>
      <c r="H27" s="12" t="s">
        <v>59</v>
      </c>
      <c r="I27" s="12" t="s">
        <v>508</v>
      </c>
      <c r="J27" s="11" t="s">
        <v>4378</v>
      </c>
      <c r="K27" s="12" t="s">
        <v>62</v>
      </c>
      <c r="L27" s="12" t="s">
        <v>510</v>
      </c>
    </row>
    <row r="28" spans="1:12" ht="26.4" x14ac:dyDescent="0.3">
      <c r="A28" s="10" t="s">
        <v>4379</v>
      </c>
      <c r="B28" s="11" t="s">
        <v>24</v>
      </c>
      <c r="C28" s="11" t="s">
        <v>4380</v>
      </c>
      <c r="D28" s="11" t="s">
        <v>4375</v>
      </c>
      <c r="E28" s="11" t="s">
        <v>4381</v>
      </c>
      <c r="F28" s="11" t="s">
        <v>4377</v>
      </c>
      <c r="G28" s="12" t="s">
        <v>59</v>
      </c>
      <c r="H28" s="12" t="s">
        <v>59</v>
      </c>
      <c r="I28" s="12" t="s">
        <v>508</v>
      </c>
      <c r="J28" s="11" t="s">
        <v>4378</v>
      </c>
      <c r="K28" s="12" t="s">
        <v>62</v>
      </c>
      <c r="L28" s="12" t="s">
        <v>510</v>
      </c>
    </row>
    <row r="29" spans="1:12" ht="26.4" x14ac:dyDescent="0.3">
      <c r="A29" s="10" t="s">
        <v>4382</v>
      </c>
      <c r="B29" s="11" t="s">
        <v>24</v>
      </c>
      <c r="C29" s="11" t="s">
        <v>4383</v>
      </c>
      <c r="D29" s="11" t="s">
        <v>4384</v>
      </c>
      <c r="E29" s="11" t="s">
        <v>4339</v>
      </c>
      <c r="F29" s="11" t="s">
        <v>4385</v>
      </c>
      <c r="G29" s="12" t="s">
        <v>1513</v>
      </c>
      <c r="H29" s="12" t="s">
        <v>59</v>
      </c>
      <c r="I29" s="12" t="s">
        <v>508</v>
      </c>
      <c r="J29" s="11" t="s">
        <v>4386</v>
      </c>
      <c r="K29" s="12" t="s">
        <v>62</v>
      </c>
      <c r="L29" s="12" t="s">
        <v>510</v>
      </c>
    </row>
    <row r="30" spans="1:12" ht="26.4" x14ac:dyDescent="0.3">
      <c r="A30" s="10" t="s">
        <v>4387</v>
      </c>
      <c r="B30" s="11" t="s">
        <v>24</v>
      </c>
      <c r="C30" s="11" t="s">
        <v>4388</v>
      </c>
      <c r="D30" s="11" t="s">
        <v>4384</v>
      </c>
      <c r="E30" s="11" t="s">
        <v>4344</v>
      </c>
      <c r="F30" s="11" t="s">
        <v>4385</v>
      </c>
      <c r="G30" s="12" t="s">
        <v>1513</v>
      </c>
      <c r="H30" s="12" t="s">
        <v>59</v>
      </c>
      <c r="I30" s="12" t="s">
        <v>508</v>
      </c>
      <c r="J30" s="11" t="s">
        <v>4386</v>
      </c>
      <c r="K30" s="12" t="s">
        <v>62</v>
      </c>
      <c r="L30" s="12" t="s">
        <v>510</v>
      </c>
    </row>
    <row r="31" spans="1:12" ht="26.4" x14ac:dyDescent="0.3">
      <c r="A31" s="10" t="s">
        <v>4389</v>
      </c>
      <c r="B31" s="11" t="s">
        <v>24</v>
      </c>
      <c r="C31" s="11" t="s">
        <v>4390</v>
      </c>
      <c r="D31" s="11" t="s">
        <v>4384</v>
      </c>
      <c r="E31" s="11" t="s">
        <v>4347</v>
      </c>
      <c r="F31" s="11" t="s">
        <v>4385</v>
      </c>
      <c r="G31" s="12" t="s">
        <v>1513</v>
      </c>
      <c r="H31" s="12" t="s">
        <v>59</v>
      </c>
      <c r="I31" s="12" t="s">
        <v>508</v>
      </c>
      <c r="J31" s="11" t="s">
        <v>4386</v>
      </c>
      <c r="K31" s="12" t="s">
        <v>62</v>
      </c>
      <c r="L31" s="12" t="s">
        <v>510</v>
      </c>
    </row>
    <row r="32" spans="1:12" ht="26.4" x14ac:dyDescent="0.3">
      <c r="A32" s="10" t="s">
        <v>4391</v>
      </c>
      <c r="B32" s="11" t="s">
        <v>24</v>
      </c>
      <c r="C32" s="11" t="s">
        <v>4392</v>
      </c>
      <c r="D32" s="11" t="s">
        <v>4384</v>
      </c>
      <c r="E32" s="11" t="s">
        <v>4350</v>
      </c>
      <c r="F32" s="11" t="s">
        <v>4385</v>
      </c>
      <c r="G32" s="12" t="s">
        <v>1513</v>
      </c>
      <c r="H32" s="12" t="s">
        <v>59</v>
      </c>
      <c r="I32" s="12" t="s">
        <v>508</v>
      </c>
      <c r="J32" s="11" t="s">
        <v>4386</v>
      </c>
      <c r="K32" s="12" t="s">
        <v>62</v>
      </c>
      <c r="L32" s="12" t="s">
        <v>510</v>
      </c>
    </row>
    <row r="33" spans="1:12" ht="26.4" x14ac:dyDescent="0.3">
      <c r="A33" s="10" t="s">
        <v>4393</v>
      </c>
      <c r="B33" s="11" t="s">
        <v>24</v>
      </c>
      <c r="C33" s="11" t="s">
        <v>4394</v>
      </c>
      <c r="D33" s="11" t="s">
        <v>4395</v>
      </c>
      <c r="E33" s="11" t="s">
        <v>4396</v>
      </c>
      <c r="F33" s="11" t="s">
        <v>4397</v>
      </c>
      <c r="G33" s="12" t="s">
        <v>59</v>
      </c>
      <c r="H33" s="12" t="s">
        <v>59</v>
      </c>
      <c r="I33" s="12" t="s">
        <v>508</v>
      </c>
      <c r="J33" s="11" t="s">
        <v>4398</v>
      </c>
      <c r="K33" s="12" t="s">
        <v>62</v>
      </c>
      <c r="L33" s="12" t="s">
        <v>510</v>
      </c>
    </row>
    <row r="34" spans="1:12" ht="26.4" x14ac:dyDescent="0.3">
      <c r="A34" s="10" t="s">
        <v>4399</v>
      </c>
      <c r="B34" s="11" t="s">
        <v>24</v>
      </c>
      <c r="C34" s="11" t="s">
        <v>4400</v>
      </c>
      <c r="D34" s="11" t="s">
        <v>4395</v>
      </c>
      <c r="E34" s="11" t="s">
        <v>4300</v>
      </c>
      <c r="F34" s="11" t="s">
        <v>4397</v>
      </c>
      <c r="G34" s="12" t="s">
        <v>59</v>
      </c>
      <c r="H34" s="12" t="s">
        <v>59</v>
      </c>
      <c r="I34" s="12" t="s">
        <v>508</v>
      </c>
      <c r="J34" s="11" t="s">
        <v>4398</v>
      </c>
      <c r="K34" s="12" t="s">
        <v>62</v>
      </c>
      <c r="L34" s="12" t="s">
        <v>510</v>
      </c>
    </row>
    <row r="35" spans="1:12" ht="26.4" x14ac:dyDescent="0.3">
      <c r="A35" s="10" t="s">
        <v>4401</v>
      </c>
      <c r="B35" s="11" t="s">
        <v>24</v>
      </c>
      <c r="C35" s="11" t="s">
        <v>4402</v>
      </c>
      <c r="D35" s="11" t="s">
        <v>4395</v>
      </c>
      <c r="E35" s="11" t="s">
        <v>4304</v>
      </c>
      <c r="F35" s="11" t="s">
        <v>4397</v>
      </c>
      <c r="G35" s="12" t="s">
        <v>59</v>
      </c>
      <c r="H35" s="12" t="s">
        <v>59</v>
      </c>
      <c r="I35" s="12" t="s">
        <v>508</v>
      </c>
      <c r="J35" s="11" t="s">
        <v>4398</v>
      </c>
      <c r="K35" s="12" t="s">
        <v>62</v>
      </c>
      <c r="L35" s="12" t="s">
        <v>510</v>
      </c>
    </row>
    <row r="36" spans="1:12" ht="26.4" x14ac:dyDescent="0.3">
      <c r="A36" s="10" t="s">
        <v>4403</v>
      </c>
      <c r="B36" s="11" t="s">
        <v>24</v>
      </c>
      <c r="C36" s="11" t="s">
        <v>4404</v>
      </c>
      <c r="D36" s="11" t="s">
        <v>4395</v>
      </c>
      <c r="E36" s="11" t="s">
        <v>4308</v>
      </c>
      <c r="F36" s="11" t="s">
        <v>4397</v>
      </c>
      <c r="G36" s="12" t="s">
        <v>59</v>
      </c>
      <c r="H36" s="12" t="s">
        <v>59</v>
      </c>
      <c r="I36" s="12" t="s">
        <v>508</v>
      </c>
      <c r="J36" s="11" t="s">
        <v>4398</v>
      </c>
      <c r="K36" s="12" t="s">
        <v>62</v>
      </c>
      <c r="L36" s="12" t="s">
        <v>510</v>
      </c>
    </row>
    <row r="37" spans="1:12" ht="26.4" x14ac:dyDescent="0.3">
      <c r="A37" s="10" t="s">
        <v>4405</v>
      </c>
      <c r="B37" s="11" t="s">
        <v>24</v>
      </c>
      <c r="C37" s="11" t="s">
        <v>4406</v>
      </c>
      <c r="D37" s="11" t="s">
        <v>4395</v>
      </c>
      <c r="E37" s="11" t="s">
        <v>4312</v>
      </c>
      <c r="F37" s="11" t="s">
        <v>4397</v>
      </c>
      <c r="G37" s="12" t="s">
        <v>59</v>
      </c>
      <c r="H37" s="12" t="s">
        <v>59</v>
      </c>
      <c r="I37" s="12" t="s">
        <v>508</v>
      </c>
      <c r="J37" s="11" t="s">
        <v>4398</v>
      </c>
      <c r="K37" s="12" t="s">
        <v>62</v>
      </c>
      <c r="L37" s="12" t="s">
        <v>510</v>
      </c>
    </row>
    <row r="38" spans="1:12" ht="26.4" x14ac:dyDescent="0.3">
      <c r="A38" s="10" t="s">
        <v>4407</v>
      </c>
      <c r="B38" s="11" t="s">
        <v>24</v>
      </c>
      <c r="C38" s="11" t="s">
        <v>4408</v>
      </c>
      <c r="D38" s="11" t="s">
        <v>4395</v>
      </c>
      <c r="E38" s="11" t="s">
        <v>4371</v>
      </c>
      <c r="F38" s="11" t="s">
        <v>4397</v>
      </c>
      <c r="G38" s="12" t="s">
        <v>59</v>
      </c>
      <c r="H38" s="12" t="s">
        <v>59</v>
      </c>
      <c r="I38" s="12" t="s">
        <v>508</v>
      </c>
      <c r="J38" s="11" t="s">
        <v>4398</v>
      </c>
      <c r="K38" s="12" t="s">
        <v>62</v>
      </c>
      <c r="L38" s="12" t="s">
        <v>510</v>
      </c>
    </row>
    <row r="39" spans="1:12" ht="26.4" x14ac:dyDescent="0.3">
      <c r="A39" s="10" t="s">
        <v>4409</v>
      </c>
      <c r="B39" s="11" t="s">
        <v>24</v>
      </c>
      <c r="C39" s="11" t="s">
        <v>4410</v>
      </c>
      <c r="D39" s="11" t="s">
        <v>4411</v>
      </c>
      <c r="E39" s="11" t="s">
        <v>4412</v>
      </c>
      <c r="F39" s="11" t="s">
        <v>4413</v>
      </c>
      <c r="G39" s="12" t="s">
        <v>59</v>
      </c>
      <c r="H39" s="12" t="s">
        <v>59</v>
      </c>
      <c r="I39" s="12" t="s">
        <v>508</v>
      </c>
      <c r="J39" s="11" t="s">
        <v>4414</v>
      </c>
      <c r="K39" s="12" t="s">
        <v>62</v>
      </c>
      <c r="L39" s="12" t="s">
        <v>510</v>
      </c>
    </row>
    <row r="40" spans="1:12" ht="26.4" x14ac:dyDescent="0.3">
      <c r="A40" s="10" t="s">
        <v>4415</v>
      </c>
      <c r="B40" s="11" t="s">
        <v>24</v>
      </c>
      <c r="C40" s="11" t="s">
        <v>4416</v>
      </c>
      <c r="D40" s="11" t="s">
        <v>4411</v>
      </c>
      <c r="E40" s="11" t="s">
        <v>4417</v>
      </c>
      <c r="F40" s="11" t="s">
        <v>4413</v>
      </c>
      <c r="G40" s="12" t="s">
        <v>59</v>
      </c>
      <c r="H40" s="12" t="s">
        <v>59</v>
      </c>
      <c r="I40" s="12" t="s">
        <v>508</v>
      </c>
      <c r="J40" s="11" t="s">
        <v>4414</v>
      </c>
      <c r="K40" s="12" t="s">
        <v>62</v>
      </c>
      <c r="L40" s="12" t="s">
        <v>510</v>
      </c>
    </row>
    <row r="41" spans="1:12" ht="26.4" x14ac:dyDescent="0.3">
      <c r="A41" s="10" t="s">
        <v>4418</v>
      </c>
      <c r="B41" s="11" t="s">
        <v>24</v>
      </c>
      <c r="C41" s="11" t="s">
        <v>4419</v>
      </c>
      <c r="D41" s="11" t="s">
        <v>4411</v>
      </c>
      <c r="E41" s="11" t="s">
        <v>4420</v>
      </c>
      <c r="F41" s="11" t="s">
        <v>4413</v>
      </c>
      <c r="G41" s="12" t="s">
        <v>59</v>
      </c>
      <c r="H41" s="12" t="s">
        <v>59</v>
      </c>
      <c r="I41" s="12" t="s">
        <v>508</v>
      </c>
      <c r="J41" s="11" t="s">
        <v>4414</v>
      </c>
      <c r="K41" s="12" t="s">
        <v>62</v>
      </c>
      <c r="L41" s="12" t="s">
        <v>510</v>
      </c>
    </row>
    <row r="42" spans="1:12" ht="26.4" x14ac:dyDescent="0.3">
      <c r="A42" s="10" t="s">
        <v>4421</v>
      </c>
      <c r="B42" s="11" t="s">
        <v>24</v>
      </c>
      <c r="C42" s="11" t="s">
        <v>4422</v>
      </c>
      <c r="D42" s="11" t="s">
        <v>4423</v>
      </c>
      <c r="E42" s="11" t="s">
        <v>4424</v>
      </c>
      <c r="F42" s="11" t="s">
        <v>4425</v>
      </c>
      <c r="G42" s="12" t="s">
        <v>59</v>
      </c>
      <c r="H42" s="12" t="s">
        <v>59</v>
      </c>
      <c r="I42" s="12" t="s">
        <v>508</v>
      </c>
      <c r="J42" s="11" t="s">
        <v>4426</v>
      </c>
      <c r="K42" s="12" t="s">
        <v>62</v>
      </c>
      <c r="L42" s="12" t="s">
        <v>510</v>
      </c>
    </row>
    <row r="43" spans="1:12" ht="26.4" x14ac:dyDescent="0.3">
      <c r="A43" s="10" t="s">
        <v>4427</v>
      </c>
      <c r="B43" s="11" t="s">
        <v>24</v>
      </c>
      <c r="C43" s="11" t="s">
        <v>4428</v>
      </c>
      <c r="D43" s="11" t="s">
        <v>4423</v>
      </c>
      <c r="E43" s="11" t="s">
        <v>4429</v>
      </c>
      <c r="F43" s="11" t="s">
        <v>4430</v>
      </c>
      <c r="G43" s="12" t="s">
        <v>59</v>
      </c>
      <c r="H43" s="12" t="s">
        <v>59</v>
      </c>
      <c r="I43" s="12" t="s">
        <v>508</v>
      </c>
      <c r="J43" s="11" t="s">
        <v>4426</v>
      </c>
      <c r="K43" s="12" t="s">
        <v>62</v>
      </c>
      <c r="L43" s="12" t="s">
        <v>510</v>
      </c>
    </row>
    <row r="44" spans="1:12" ht="26.4" x14ac:dyDescent="0.3">
      <c r="A44" s="10" t="s">
        <v>4431</v>
      </c>
      <c r="B44" s="11" t="s">
        <v>24</v>
      </c>
      <c r="C44" s="11" t="s">
        <v>4432</v>
      </c>
      <c r="D44" s="11" t="s">
        <v>4423</v>
      </c>
      <c r="E44" s="11" t="s">
        <v>4433</v>
      </c>
      <c r="F44" s="11" t="s">
        <v>4434</v>
      </c>
      <c r="G44" s="12" t="s">
        <v>59</v>
      </c>
      <c r="H44" s="12" t="s">
        <v>59</v>
      </c>
      <c r="I44" s="12" t="s">
        <v>508</v>
      </c>
      <c r="J44" s="11" t="s">
        <v>4426</v>
      </c>
      <c r="K44" s="12" t="s">
        <v>62</v>
      </c>
      <c r="L44" s="12" t="s">
        <v>510</v>
      </c>
    </row>
    <row r="45" spans="1:12" ht="26.4" x14ac:dyDescent="0.3">
      <c r="A45" s="10" t="s">
        <v>4435</v>
      </c>
      <c r="B45" s="11" t="s">
        <v>24</v>
      </c>
      <c r="C45" s="11" t="s">
        <v>4436</v>
      </c>
      <c r="D45" s="11" t="s">
        <v>4437</v>
      </c>
      <c r="E45" s="11" t="s">
        <v>4412</v>
      </c>
      <c r="F45" s="11" t="s">
        <v>4438</v>
      </c>
      <c r="G45" s="12" t="s">
        <v>59</v>
      </c>
      <c r="H45" s="12" t="s">
        <v>59</v>
      </c>
      <c r="I45" s="12" t="s">
        <v>508</v>
      </c>
      <c r="J45" s="11" t="s">
        <v>4439</v>
      </c>
      <c r="K45" s="12" t="s">
        <v>62</v>
      </c>
      <c r="L45" s="12" t="s">
        <v>510</v>
      </c>
    </row>
    <row r="46" spans="1:12" ht="26.4" x14ac:dyDescent="0.3">
      <c r="A46" s="10" t="s">
        <v>4440</v>
      </c>
      <c r="B46" s="11" t="s">
        <v>24</v>
      </c>
      <c r="C46" s="11" t="s">
        <v>4441</v>
      </c>
      <c r="D46" s="11" t="s">
        <v>4437</v>
      </c>
      <c r="E46" s="11" t="s">
        <v>4412</v>
      </c>
      <c r="F46" s="11" t="s">
        <v>4442</v>
      </c>
      <c r="G46" s="12" t="s">
        <v>59</v>
      </c>
      <c r="H46" s="12" t="s">
        <v>59</v>
      </c>
      <c r="I46" s="12" t="s">
        <v>508</v>
      </c>
      <c r="J46" s="11" t="s">
        <v>4439</v>
      </c>
      <c r="K46" s="12" t="s">
        <v>62</v>
      </c>
      <c r="L46" s="12" t="s">
        <v>510</v>
      </c>
    </row>
    <row r="47" spans="1:12" ht="26.4" x14ac:dyDescent="0.3">
      <c r="A47" s="10" t="s">
        <v>4443</v>
      </c>
      <c r="B47" s="11" t="s">
        <v>24</v>
      </c>
      <c r="C47" s="11" t="s">
        <v>4444</v>
      </c>
      <c r="D47" s="11" t="s">
        <v>4437</v>
      </c>
      <c r="E47" s="11" t="s">
        <v>4412</v>
      </c>
      <c r="F47" s="11" t="s">
        <v>4445</v>
      </c>
      <c r="G47" s="12" t="s">
        <v>59</v>
      </c>
      <c r="H47" s="12" t="s">
        <v>59</v>
      </c>
      <c r="I47" s="12" t="s">
        <v>508</v>
      </c>
      <c r="J47" s="11" t="s">
        <v>4439</v>
      </c>
      <c r="K47" s="12" t="s">
        <v>62</v>
      </c>
      <c r="L47" s="12" t="s">
        <v>510</v>
      </c>
    </row>
    <row r="48" spans="1:12" ht="26.4" x14ac:dyDescent="0.3">
      <c r="A48" s="10" t="s">
        <v>4446</v>
      </c>
      <c r="B48" s="11" t="s">
        <v>24</v>
      </c>
      <c r="C48" s="11" t="s">
        <v>4447</v>
      </c>
      <c r="D48" s="11" t="s">
        <v>4437</v>
      </c>
      <c r="E48" s="11" t="s">
        <v>4412</v>
      </c>
      <c r="F48" s="11" t="s">
        <v>4448</v>
      </c>
      <c r="G48" s="12" t="s">
        <v>59</v>
      </c>
      <c r="H48" s="12" t="s">
        <v>59</v>
      </c>
      <c r="I48" s="12" t="s">
        <v>508</v>
      </c>
      <c r="J48" s="11" t="s">
        <v>4439</v>
      </c>
      <c r="K48" s="12" t="s">
        <v>62</v>
      </c>
      <c r="L48" s="12" t="s">
        <v>510</v>
      </c>
    </row>
    <row r="49" spans="1:12" ht="26.4" x14ac:dyDescent="0.3">
      <c r="A49" s="10" t="s">
        <v>4449</v>
      </c>
      <c r="B49" s="11" t="s">
        <v>24</v>
      </c>
      <c r="C49" s="11" t="s">
        <v>4450</v>
      </c>
      <c r="D49" s="11" t="s">
        <v>4437</v>
      </c>
      <c r="E49" s="11" t="s">
        <v>4412</v>
      </c>
      <c r="F49" s="11" t="s">
        <v>4451</v>
      </c>
      <c r="G49" s="12" t="s">
        <v>59</v>
      </c>
      <c r="H49" s="12" t="s">
        <v>59</v>
      </c>
      <c r="I49" s="12" t="s">
        <v>508</v>
      </c>
      <c r="J49" s="11" t="s">
        <v>4439</v>
      </c>
      <c r="K49" s="12" t="s">
        <v>62</v>
      </c>
      <c r="L49" s="12" t="s">
        <v>510</v>
      </c>
    </row>
    <row r="50" spans="1:12" ht="26.4" x14ac:dyDescent="0.3">
      <c r="A50" s="10" t="s">
        <v>4452</v>
      </c>
      <c r="B50" s="11" t="s">
        <v>24</v>
      </c>
      <c r="C50" s="11" t="s">
        <v>4453</v>
      </c>
      <c r="D50" s="11" t="s">
        <v>4437</v>
      </c>
      <c r="E50" s="11" t="s">
        <v>4417</v>
      </c>
      <c r="F50" s="11" t="s">
        <v>4454</v>
      </c>
      <c r="G50" s="12" t="s">
        <v>59</v>
      </c>
      <c r="H50" s="12" t="s">
        <v>59</v>
      </c>
      <c r="I50" s="12" t="s">
        <v>508</v>
      </c>
      <c r="J50" s="11" t="s">
        <v>4439</v>
      </c>
      <c r="K50" s="12" t="s">
        <v>62</v>
      </c>
      <c r="L50" s="12" t="s">
        <v>510</v>
      </c>
    </row>
    <row r="51" spans="1:12" ht="26.4" x14ac:dyDescent="0.3">
      <c r="A51" s="10" t="s">
        <v>4455</v>
      </c>
      <c r="B51" s="11" t="s">
        <v>24</v>
      </c>
      <c r="C51" s="11" t="s">
        <v>4456</v>
      </c>
      <c r="D51" s="11" t="s">
        <v>4437</v>
      </c>
      <c r="E51" s="11" t="s">
        <v>4417</v>
      </c>
      <c r="F51" s="11" t="s">
        <v>4457</v>
      </c>
      <c r="G51" s="12" t="s">
        <v>59</v>
      </c>
      <c r="H51" s="12" t="s">
        <v>59</v>
      </c>
      <c r="I51" s="12" t="s">
        <v>508</v>
      </c>
      <c r="J51" s="11" t="s">
        <v>4439</v>
      </c>
      <c r="K51" s="12" t="s">
        <v>62</v>
      </c>
      <c r="L51" s="12" t="s">
        <v>510</v>
      </c>
    </row>
    <row r="52" spans="1:12" ht="26.4" x14ac:dyDescent="0.3">
      <c r="A52" s="10" t="s">
        <v>4458</v>
      </c>
      <c r="B52" s="11" t="s">
        <v>24</v>
      </c>
      <c r="C52" s="11" t="s">
        <v>4459</v>
      </c>
      <c r="D52" s="11" t="s">
        <v>4437</v>
      </c>
      <c r="E52" s="11" t="s">
        <v>4417</v>
      </c>
      <c r="F52" s="11" t="s">
        <v>4460</v>
      </c>
      <c r="G52" s="12" t="s">
        <v>59</v>
      </c>
      <c r="H52" s="12" t="s">
        <v>59</v>
      </c>
      <c r="I52" s="12" t="s">
        <v>508</v>
      </c>
      <c r="J52" s="11" t="s">
        <v>4439</v>
      </c>
      <c r="K52" s="12" t="s">
        <v>62</v>
      </c>
      <c r="L52" s="12" t="s">
        <v>510</v>
      </c>
    </row>
    <row r="53" spans="1:12" ht="26.4" x14ac:dyDescent="0.3">
      <c r="A53" s="10" t="s">
        <v>4461</v>
      </c>
      <c r="B53" s="11" t="s">
        <v>24</v>
      </c>
      <c r="C53" s="11" t="s">
        <v>4462</v>
      </c>
      <c r="D53" s="11" t="s">
        <v>4437</v>
      </c>
      <c r="E53" s="11" t="s">
        <v>4417</v>
      </c>
      <c r="F53" s="11" t="s">
        <v>4463</v>
      </c>
      <c r="G53" s="12" t="s">
        <v>59</v>
      </c>
      <c r="H53" s="12" t="s">
        <v>59</v>
      </c>
      <c r="I53" s="12" t="s">
        <v>508</v>
      </c>
      <c r="J53" s="11" t="s">
        <v>4439</v>
      </c>
      <c r="K53" s="12" t="s">
        <v>62</v>
      </c>
      <c r="L53" s="12" t="s">
        <v>510</v>
      </c>
    </row>
    <row r="54" spans="1:12" ht="26.4" x14ac:dyDescent="0.3">
      <c r="A54" s="10" t="s">
        <v>4464</v>
      </c>
      <c r="B54" s="11" t="s">
        <v>24</v>
      </c>
      <c r="C54" s="11" t="s">
        <v>4465</v>
      </c>
      <c r="D54" s="11" t="s">
        <v>4437</v>
      </c>
      <c r="E54" s="11" t="s">
        <v>4466</v>
      </c>
      <c r="F54" s="11" t="s">
        <v>4467</v>
      </c>
      <c r="G54" s="12" t="s">
        <v>59</v>
      </c>
      <c r="H54" s="12" t="s">
        <v>59</v>
      </c>
      <c r="I54" s="12" t="s">
        <v>508</v>
      </c>
      <c r="J54" s="11" t="s">
        <v>4439</v>
      </c>
      <c r="K54" s="12" t="s">
        <v>62</v>
      </c>
      <c r="L54" s="12" t="s">
        <v>510</v>
      </c>
    </row>
    <row r="55" spans="1:12" ht="26.4" x14ac:dyDescent="0.3">
      <c r="A55" s="10" t="s">
        <v>4468</v>
      </c>
      <c r="B55" s="11" t="s">
        <v>24</v>
      </c>
      <c r="C55" s="11" t="s">
        <v>4469</v>
      </c>
      <c r="D55" s="11" t="s">
        <v>4437</v>
      </c>
      <c r="E55" s="11" t="s">
        <v>4466</v>
      </c>
      <c r="F55" s="11" t="s">
        <v>4470</v>
      </c>
      <c r="G55" s="12" t="s">
        <v>59</v>
      </c>
      <c r="H55" s="12" t="s">
        <v>59</v>
      </c>
      <c r="I55" s="12" t="s">
        <v>508</v>
      </c>
      <c r="J55" s="11" t="s">
        <v>4439</v>
      </c>
      <c r="K55" s="12" t="s">
        <v>62</v>
      </c>
      <c r="L55" s="12" t="s">
        <v>510</v>
      </c>
    </row>
    <row r="56" spans="1:12" ht="26.4" x14ac:dyDescent="0.3">
      <c r="A56" s="10" t="s">
        <v>4471</v>
      </c>
      <c r="B56" s="11" t="s">
        <v>24</v>
      </c>
      <c r="C56" s="11" t="s">
        <v>4472</v>
      </c>
      <c r="D56" s="11" t="s">
        <v>4437</v>
      </c>
      <c r="E56" s="11" t="s">
        <v>4466</v>
      </c>
      <c r="F56" s="11" t="s">
        <v>4473</v>
      </c>
      <c r="G56" s="12" t="s">
        <v>59</v>
      </c>
      <c r="H56" s="12" t="s">
        <v>59</v>
      </c>
      <c r="I56" s="12" t="s">
        <v>508</v>
      </c>
      <c r="J56" s="11" t="s">
        <v>4439</v>
      </c>
      <c r="K56" s="12" t="s">
        <v>62</v>
      </c>
      <c r="L56" s="12" t="s">
        <v>510</v>
      </c>
    </row>
    <row r="57" spans="1:12" ht="26.4" x14ac:dyDescent="0.3">
      <c r="A57" s="10" t="s">
        <v>4474</v>
      </c>
      <c r="B57" s="11" t="s">
        <v>24</v>
      </c>
      <c r="C57" s="11" t="s">
        <v>4475</v>
      </c>
      <c r="D57" s="11" t="s">
        <v>4437</v>
      </c>
      <c r="E57" s="11" t="s">
        <v>4466</v>
      </c>
      <c r="F57" s="11" t="s">
        <v>4476</v>
      </c>
      <c r="G57" s="12" t="s">
        <v>59</v>
      </c>
      <c r="H57" s="12" t="s">
        <v>59</v>
      </c>
      <c r="I57" s="12" t="s">
        <v>508</v>
      </c>
      <c r="J57" s="11" t="s">
        <v>4439</v>
      </c>
      <c r="K57" s="12" t="s">
        <v>62</v>
      </c>
      <c r="L57" s="12" t="s">
        <v>510</v>
      </c>
    </row>
    <row r="58" spans="1:12" ht="26.4" x14ac:dyDescent="0.3">
      <c r="A58" s="10" t="s">
        <v>4477</v>
      </c>
      <c r="B58" s="11" t="s">
        <v>24</v>
      </c>
      <c r="C58" s="11" t="s">
        <v>4478</v>
      </c>
      <c r="D58" s="11" t="s">
        <v>4437</v>
      </c>
      <c r="E58" s="11" t="s">
        <v>4479</v>
      </c>
      <c r="F58" s="11" t="s">
        <v>4480</v>
      </c>
      <c r="G58" s="12" t="s">
        <v>59</v>
      </c>
      <c r="H58" s="12" t="s">
        <v>59</v>
      </c>
      <c r="I58" s="12" t="s">
        <v>508</v>
      </c>
      <c r="J58" s="11" t="s">
        <v>4439</v>
      </c>
      <c r="K58" s="12" t="s">
        <v>62</v>
      </c>
      <c r="L58" s="12" t="s">
        <v>510</v>
      </c>
    </row>
    <row r="59" spans="1:12" ht="26.4" x14ac:dyDescent="0.3">
      <c r="A59" s="10" t="s">
        <v>4481</v>
      </c>
      <c r="B59" s="11" t="s">
        <v>24</v>
      </c>
      <c r="C59" s="11" t="s">
        <v>4482</v>
      </c>
      <c r="D59" s="11" t="s">
        <v>4437</v>
      </c>
      <c r="E59" s="11" t="s">
        <v>4479</v>
      </c>
      <c r="F59" s="11" t="s">
        <v>4483</v>
      </c>
      <c r="G59" s="12" t="s">
        <v>59</v>
      </c>
      <c r="H59" s="12" t="s">
        <v>59</v>
      </c>
      <c r="I59" s="12" t="s">
        <v>508</v>
      </c>
      <c r="J59" s="11" t="s">
        <v>4439</v>
      </c>
      <c r="K59" s="12" t="s">
        <v>62</v>
      </c>
      <c r="L59" s="12" t="s">
        <v>510</v>
      </c>
    </row>
    <row r="60" spans="1:12" ht="26.4" x14ac:dyDescent="0.3">
      <c r="A60" s="10" t="s">
        <v>4484</v>
      </c>
      <c r="B60" s="11" t="s">
        <v>24</v>
      </c>
      <c r="C60" s="11" t="s">
        <v>4485</v>
      </c>
      <c r="D60" s="11" t="s">
        <v>4437</v>
      </c>
      <c r="E60" s="11" t="s">
        <v>4479</v>
      </c>
      <c r="F60" s="11" t="s">
        <v>4486</v>
      </c>
      <c r="G60" s="12" t="s">
        <v>59</v>
      </c>
      <c r="H60" s="12" t="s">
        <v>59</v>
      </c>
      <c r="I60" s="12" t="s">
        <v>508</v>
      </c>
      <c r="J60" s="11" t="s">
        <v>4439</v>
      </c>
      <c r="K60" s="12" t="s">
        <v>62</v>
      </c>
      <c r="L60" s="12" t="s">
        <v>510</v>
      </c>
    </row>
    <row r="61" spans="1:12" ht="26.4" x14ac:dyDescent="0.3">
      <c r="A61" s="10" t="s">
        <v>4487</v>
      </c>
      <c r="B61" s="11" t="s">
        <v>24</v>
      </c>
      <c r="C61" s="11" t="s">
        <v>4488</v>
      </c>
      <c r="D61" s="11" t="s">
        <v>4437</v>
      </c>
      <c r="E61" s="11" t="s">
        <v>4489</v>
      </c>
      <c r="F61" s="11" t="s">
        <v>4490</v>
      </c>
      <c r="G61" s="12" t="s">
        <v>59</v>
      </c>
      <c r="H61" s="12" t="s">
        <v>59</v>
      </c>
      <c r="I61" s="12" t="s">
        <v>508</v>
      </c>
      <c r="J61" s="11" t="s">
        <v>4439</v>
      </c>
      <c r="K61" s="12" t="s">
        <v>62</v>
      </c>
      <c r="L61" s="12" t="s">
        <v>510</v>
      </c>
    </row>
    <row r="62" spans="1:12" ht="26.4" x14ac:dyDescent="0.3">
      <c r="A62" s="10" t="s">
        <v>4491</v>
      </c>
      <c r="B62" s="11" t="s">
        <v>24</v>
      </c>
      <c r="C62" s="11" t="s">
        <v>4492</v>
      </c>
      <c r="D62" s="11" t="s">
        <v>4437</v>
      </c>
      <c r="E62" s="11" t="s">
        <v>4489</v>
      </c>
      <c r="F62" s="11" t="s">
        <v>4493</v>
      </c>
      <c r="G62" s="12" t="s">
        <v>59</v>
      </c>
      <c r="H62" s="12" t="s">
        <v>59</v>
      </c>
      <c r="I62" s="12" t="s">
        <v>508</v>
      </c>
      <c r="J62" s="11" t="s">
        <v>4439</v>
      </c>
      <c r="K62" s="12" t="s">
        <v>62</v>
      </c>
      <c r="L62" s="12" t="s">
        <v>510</v>
      </c>
    </row>
    <row r="63" spans="1:12" ht="26.4" x14ac:dyDescent="0.3">
      <c r="A63" s="10" t="s">
        <v>4494</v>
      </c>
      <c r="B63" s="11" t="s">
        <v>24</v>
      </c>
      <c r="C63" s="11" t="s">
        <v>4495</v>
      </c>
      <c r="D63" s="11" t="s">
        <v>4437</v>
      </c>
      <c r="E63" s="11" t="s">
        <v>4489</v>
      </c>
      <c r="F63" s="11" t="s">
        <v>4496</v>
      </c>
      <c r="G63" s="12" t="s">
        <v>59</v>
      </c>
      <c r="H63" s="12" t="s">
        <v>59</v>
      </c>
      <c r="I63" s="12" t="s">
        <v>508</v>
      </c>
      <c r="J63" s="11" t="s">
        <v>4439</v>
      </c>
      <c r="K63" s="12" t="s">
        <v>62</v>
      </c>
      <c r="L63" s="12" t="s">
        <v>510</v>
      </c>
    </row>
    <row r="64" spans="1:12" ht="26.4" x14ac:dyDescent="0.3">
      <c r="A64" s="10" t="s">
        <v>4497</v>
      </c>
      <c r="B64" s="11" t="s">
        <v>24</v>
      </c>
      <c r="C64" s="11" t="s">
        <v>4498</v>
      </c>
      <c r="D64" s="11" t="s">
        <v>4437</v>
      </c>
      <c r="E64" s="11" t="s">
        <v>4420</v>
      </c>
      <c r="F64" s="11" t="s">
        <v>4499</v>
      </c>
      <c r="G64" s="12" t="s">
        <v>59</v>
      </c>
      <c r="H64" s="12" t="s">
        <v>59</v>
      </c>
      <c r="I64" s="12" t="s">
        <v>508</v>
      </c>
      <c r="J64" s="11" t="s">
        <v>4439</v>
      </c>
      <c r="K64" s="12" t="s">
        <v>62</v>
      </c>
      <c r="L64" s="12" t="s">
        <v>510</v>
      </c>
    </row>
    <row r="65" spans="1:12" ht="26.4" x14ac:dyDescent="0.3">
      <c r="A65" s="10" t="s">
        <v>4500</v>
      </c>
      <c r="B65" s="11" t="s">
        <v>24</v>
      </c>
      <c r="C65" s="11" t="s">
        <v>4501</v>
      </c>
      <c r="D65" s="11" t="s">
        <v>4437</v>
      </c>
      <c r="E65" s="11" t="s">
        <v>4420</v>
      </c>
      <c r="F65" s="11" t="s">
        <v>4502</v>
      </c>
      <c r="G65" s="12" t="s">
        <v>59</v>
      </c>
      <c r="H65" s="12" t="s">
        <v>59</v>
      </c>
      <c r="I65" s="12" t="s">
        <v>508</v>
      </c>
      <c r="J65" s="11" t="s">
        <v>4439</v>
      </c>
      <c r="K65" s="12" t="s">
        <v>62</v>
      </c>
      <c r="L65" s="12" t="s">
        <v>510</v>
      </c>
    </row>
    <row r="66" spans="1:12" ht="26.4" x14ac:dyDescent="0.3">
      <c r="A66" s="10" t="s">
        <v>4503</v>
      </c>
      <c r="B66" s="11" t="s">
        <v>24</v>
      </c>
      <c r="C66" s="11" t="s">
        <v>4504</v>
      </c>
      <c r="D66" s="11" t="s">
        <v>4437</v>
      </c>
      <c r="E66" s="11" t="s">
        <v>4420</v>
      </c>
      <c r="F66" s="11" t="s">
        <v>4505</v>
      </c>
      <c r="G66" s="12" t="s">
        <v>59</v>
      </c>
      <c r="H66" s="12" t="s">
        <v>59</v>
      </c>
      <c r="I66" s="12" t="s">
        <v>508</v>
      </c>
      <c r="J66" s="11" t="s">
        <v>4439</v>
      </c>
      <c r="K66" s="12" t="s">
        <v>62</v>
      </c>
      <c r="L66" s="12" t="s">
        <v>510</v>
      </c>
    </row>
    <row r="67" spans="1:12" ht="26.4" x14ac:dyDescent="0.3">
      <c r="A67" s="10" t="s">
        <v>4506</v>
      </c>
      <c r="B67" s="11" t="s">
        <v>24</v>
      </c>
      <c r="C67" s="11" t="s">
        <v>4507</v>
      </c>
      <c r="D67" s="11" t="s">
        <v>4437</v>
      </c>
      <c r="E67" s="11" t="s">
        <v>4420</v>
      </c>
      <c r="F67" s="11" t="s">
        <v>4460</v>
      </c>
      <c r="G67" s="12" t="s">
        <v>59</v>
      </c>
      <c r="H67" s="12" t="s">
        <v>59</v>
      </c>
      <c r="I67" s="12" t="s">
        <v>508</v>
      </c>
      <c r="J67" s="11" t="s">
        <v>4439</v>
      </c>
      <c r="K67" s="12" t="s">
        <v>62</v>
      </c>
      <c r="L67" s="12" t="s">
        <v>510</v>
      </c>
    </row>
    <row r="68" spans="1:12" ht="26.4" x14ac:dyDescent="0.3">
      <c r="A68" s="10" t="s">
        <v>4508</v>
      </c>
      <c r="B68" s="11" t="s">
        <v>25</v>
      </c>
      <c r="C68" s="11" t="s">
        <v>4509</v>
      </c>
      <c r="D68" s="11" t="s">
        <v>4510</v>
      </c>
      <c r="E68" s="11" t="s">
        <v>4511</v>
      </c>
      <c r="F68" s="11" t="s">
        <v>4512</v>
      </c>
      <c r="G68" s="12" t="s">
        <v>59</v>
      </c>
      <c r="H68" s="12" t="s">
        <v>59</v>
      </c>
      <c r="I68" s="12" t="s">
        <v>60</v>
      </c>
      <c r="J68" s="11" t="s">
        <v>4296</v>
      </c>
      <c r="K68" s="12" t="s">
        <v>62</v>
      </c>
      <c r="L68" s="12" t="s">
        <v>4297</v>
      </c>
    </row>
    <row r="69" spans="1:12" ht="26.4" x14ac:dyDescent="0.3">
      <c r="A69" s="10" t="s">
        <v>4513</v>
      </c>
      <c r="B69" s="11" t="s">
        <v>25</v>
      </c>
      <c r="C69" s="11" t="s">
        <v>4514</v>
      </c>
      <c r="D69" s="11" t="s">
        <v>4515</v>
      </c>
      <c r="E69" s="11" t="s">
        <v>4516</v>
      </c>
      <c r="F69" s="11" t="s">
        <v>4517</v>
      </c>
      <c r="G69" s="12" t="s">
        <v>59</v>
      </c>
      <c r="H69" s="12" t="s">
        <v>59</v>
      </c>
      <c r="I69" s="12" t="s">
        <v>60</v>
      </c>
      <c r="J69" s="11" t="s">
        <v>4296</v>
      </c>
      <c r="K69" s="12" t="s">
        <v>62</v>
      </c>
      <c r="L69" s="12" t="s">
        <v>4297</v>
      </c>
    </row>
    <row r="70" spans="1:12" ht="26.4" x14ac:dyDescent="0.3">
      <c r="A70" s="10" t="s">
        <v>4518</v>
      </c>
      <c r="B70" s="11" t="s">
        <v>25</v>
      </c>
      <c r="C70" s="11" t="s">
        <v>4519</v>
      </c>
      <c r="D70" s="11" t="s">
        <v>4520</v>
      </c>
      <c r="E70" s="11" t="s">
        <v>4521</v>
      </c>
      <c r="F70" s="11" t="s">
        <v>4522</v>
      </c>
      <c r="G70" s="12" t="s">
        <v>59</v>
      </c>
      <c r="H70" s="12" t="s">
        <v>59</v>
      </c>
      <c r="I70" s="12" t="s">
        <v>60</v>
      </c>
      <c r="J70" s="11" t="s">
        <v>4296</v>
      </c>
      <c r="K70" s="12" t="s">
        <v>62</v>
      </c>
      <c r="L70" s="12" t="s">
        <v>4297</v>
      </c>
    </row>
    <row r="71" spans="1:12" ht="26.4" x14ac:dyDescent="0.3">
      <c r="A71" s="10" t="s">
        <v>4523</v>
      </c>
      <c r="B71" s="11" t="s">
        <v>25</v>
      </c>
      <c r="C71" s="11" t="s">
        <v>4524</v>
      </c>
      <c r="D71" s="11" t="s">
        <v>4525</v>
      </c>
      <c r="E71" s="11" t="s">
        <v>4526</v>
      </c>
      <c r="F71" s="11" t="s">
        <v>4527</v>
      </c>
      <c r="G71" s="12" t="s">
        <v>59</v>
      </c>
      <c r="H71" s="12" t="s">
        <v>59</v>
      </c>
      <c r="I71" s="12" t="s">
        <v>60</v>
      </c>
      <c r="J71" s="11" t="s">
        <v>4296</v>
      </c>
      <c r="K71" s="12" t="s">
        <v>62</v>
      </c>
      <c r="L71" s="12" t="s">
        <v>4297</v>
      </c>
    </row>
    <row r="72" spans="1:12" ht="26.4" x14ac:dyDescent="0.3">
      <c r="A72" s="10" t="s">
        <v>4528</v>
      </c>
      <c r="B72" s="11" t="s">
        <v>25</v>
      </c>
      <c r="C72" s="11" t="s">
        <v>4529</v>
      </c>
      <c r="D72" s="11" t="s">
        <v>4530</v>
      </c>
      <c r="E72" s="11" t="s">
        <v>4531</v>
      </c>
      <c r="F72" s="11" t="s">
        <v>4532</v>
      </c>
      <c r="G72" s="12" t="s">
        <v>59</v>
      </c>
      <c r="H72" s="12" t="s">
        <v>59</v>
      </c>
      <c r="I72" s="12" t="s">
        <v>60</v>
      </c>
      <c r="J72" s="11" t="s">
        <v>4296</v>
      </c>
      <c r="K72" s="12" t="s">
        <v>62</v>
      </c>
      <c r="L72" s="12" t="s">
        <v>4297</v>
      </c>
    </row>
    <row r="73" spans="1:12" ht="26.4" x14ac:dyDescent="0.3">
      <c r="A73" s="10" t="s">
        <v>4533</v>
      </c>
      <c r="B73" s="11" t="s">
        <v>25</v>
      </c>
      <c r="C73" s="11" t="s">
        <v>4534</v>
      </c>
      <c r="D73" s="11" t="s">
        <v>4535</v>
      </c>
      <c r="E73" s="11" t="s">
        <v>4536</v>
      </c>
      <c r="F73" s="11" t="s">
        <v>4537</v>
      </c>
      <c r="G73" s="12" t="s">
        <v>59</v>
      </c>
      <c r="H73" s="12" t="s">
        <v>59</v>
      </c>
      <c r="I73" s="12" t="s">
        <v>60</v>
      </c>
      <c r="J73" s="11" t="s">
        <v>4296</v>
      </c>
      <c r="K73" s="12" t="s">
        <v>62</v>
      </c>
      <c r="L73" s="12" t="s">
        <v>4297</v>
      </c>
    </row>
    <row r="74" spans="1:12" ht="26.4" x14ac:dyDescent="0.3">
      <c r="A74" s="10" t="s">
        <v>4538</v>
      </c>
      <c r="B74" s="11" t="s">
        <v>25</v>
      </c>
      <c r="C74" s="11" t="s">
        <v>4539</v>
      </c>
      <c r="D74" s="11" t="s">
        <v>4540</v>
      </c>
      <c r="E74" s="11" t="s">
        <v>4541</v>
      </c>
      <c r="F74" s="11" t="s">
        <v>4542</v>
      </c>
      <c r="G74" s="12" t="s">
        <v>59</v>
      </c>
      <c r="H74" s="12" t="s">
        <v>59</v>
      </c>
      <c r="I74" s="12" t="s">
        <v>60</v>
      </c>
      <c r="J74" s="11" t="s">
        <v>4296</v>
      </c>
      <c r="K74" s="12" t="s">
        <v>62</v>
      </c>
      <c r="L74" s="12" t="s">
        <v>4297</v>
      </c>
    </row>
    <row r="75" spans="1:12" ht="26.4" x14ac:dyDescent="0.3">
      <c r="A75" s="10" t="s">
        <v>4543</v>
      </c>
      <c r="B75" s="11" t="s">
        <v>25</v>
      </c>
      <c r="C75" s="11" t="s">
        <v>4544</v>
      </c>
      <c r="D75" s="11" t="s">
        <v>4545</v>
      </c>
      <c r="E75" s="11" t="s">
        <v>4546</v>
      </c>
      <c r="F75" s="11" t="s">
        <v>4547</v>
      </c>
      <c r="G75" s="12" t="s">
        <v>59</v>
      </c>
      <c r="H75" s="12" t="s">
        <v>59</v>
      </c>
      <c r="I75" s="12" t="s">
        <v>508</v>
      </c>
      <c r="J75" s="11" t="s">
        <v>4548</v>
      </c>
      <c r="K75" s="12" t="s">
        <v>62</v>
      </c>
      <c r="L75" s="12" t="s">
        <v>510</v>
      </c>
    </row>
    <row r="76" spans="1:12" ht="26.4" x14ac:dyDescent="0.3">
      <c r="A76" s="10" t="s">
        <v>4549</v>
      </c>
      <c r="B76" s="11" t="s">
        <v>25</v>
      </c>
      <c r="C76" s="11" t="s">
        <v>4550</v>
      </c>
      <c r="D76" s="11" t="s">
        <v>4551</v>
      </c>
      <c r="E76" s="11" t="s">
        <v>4552</v>
      </c>
      <c r="F76" s="11" t="s">
        <v>4553</v>
      </c>
      <c r="G76" s="12" t="s">
        <v>59</v>
      </c>
      <c r="H76" s="12" t="s">
        <v>59</v>
      </c>
      <c r="I76" s="12" t="s">
        <v>508</v>
      </c>
      <c r="J76" s="11" t="s">
        <v>4554</v>
      </c>
      <c r="K76" s="12" t="s">
        <v>62</v>
      </c>
      <c r="L76" s="12" t="s">
        <v>510</v>
      </c>
    </row>
    <row r="77" spans="1:12" ht="26.4" x14ac:dyDescent="0.3">
      <c r="A77" s="10" t="s">
        <v>4555</v>
      </c>
      <c r="B77" s="11" t="s">
        <v>25</v>
      </c>
      <c r="C77" s="11" t="s">
        <v>4556</v>
      </c>
      <c r="D77" s="11" t="s">
        <v>4551</v>
      </c>
      <c r="E77" s="11" t="s">
        <v>4557</v>
      </c>
      <c r="F77" s="11" t="s">
        <v>4558</v>
      </c>
      <c r="G77" s="12" t="s">
        <v>59</v>
      </c>
      <c r="H77" s="12" t="s">
        <v>59</v>
      </c>
      <c r="I77" s="12" t="s">
        <v>508</v>
      </c>
      <c r="J77" s="11" t="s">
        <v>4554</v>
      </c>
      <c r="K77" s="12" t="s">
        <v>62</v>
      </c>
      <c r="L77" s="12" t="s">
        <v>510</v>
      </c>
    </row>
    <row r="78" spans="1:12" ht="39.6" x14ac:dyDescent="0.3">
      <c r="A78" s="10" t="s">
        <v>4559</v>
      </c>
      <c r="B78" s="11" t="s">
        <v>25</v>
      </c>
      <c r="C78" s="11" t="s">
        <v>2241</v>
      </c>
      <c r="D78" s="11" t="s">
        <v>4560</v>
      </c>
      <c r="E78" s="11" t="s">
        <v>4561</v>
      </c>
      <c r="F78" s="11" t="s">
        <v>1744</v>
      </c>
      <c r="G78" s="12" t="s">
        <v>59</v>
      </c>
      <c r="H78" s="12" t="s">
        <v>59</v>
      </c>
      <c r="I78" s="12" t="s">
        <v>508</v>
      </c>
      <c r="J78" s="11" t="s">
        <v>4562</v>
      </c>
      <c r="K78" s="12" t="s">
        <v>62</v>
      </c>
      <c r="L78" s="12" t="s">
        <v>510</v>
      </c>
    </row>
    <row r="79" spans="1:12" ht="39.6" x14ac:dyDescent="0.3">
      <c r="A79" s="10" t="s">
        <v>4563</v>
      </c>
      <c r="B79" s="11" t="s">
        <v>25</v>
      </c>
      <c r="C79" s="11" t="s">
        <v>2246</v>
      </c>
      <c r="D79" s="11" t="s">
        <v>4560</v>
      </c>
      <c r="E79" s="11" t="s">
        <v>4564</v>
      </c>
      <c r="F79" s="11" t="s">
        <v>1758</v>
      </c>
      <c r="G79" s="12" t="s">
        <v>59</v>
      </c>
      <c r="H79" s="12" t="s">
        <v>59</v>
      </c>
      <c r="I79" s="12" t="s">
        <v>508</v>
      </c>
      <c r="J79" s="11" t="s">
        <v>4562</v>
      </c>
      <c r="K79" s="12" t="s">
        <v>62</v>
      </c>
      <c r="L79" s="12" t="s">
        <v>510</v>
      </c>
    </row>
    <row r="80" spans="1:12" ht="26.4" x14ac:dyDescent="0.3">
      <c r="A80" s="10" t="s">
        <v>4565</v>
      </c>
      <c r="B80" s="11" t="s">
        <v>25</v>
      </c>
      <c r="C80" s="11" t="s">
        <v>4566</v>
      </c>
      <c r="D80" s="11" t="s">
        <v>4560</v>
      </c>
      <c r="E80" s="11" t="s">
        <v>4567</v>
      </c>
      <c r="F80" s="11" t="s">
        <v>1758</v>
      </c>
      <c r="G80" s="12" t="s">
        <v>59</v>
      </c>
      <c r="H80" s="12" t="s">
        <v>59</v>
      </c>
      <c r="I80" s="12" t="s">
        <v>508</v>
      </c>
      <c r="J80" s="11" t="s">
        <v>4562</v>
      </c>
      <c r="K80" s="12" t="s">
        <v>62</v>
      </c>
      <c r="L80" s="12" t="s">
        <v>510</v>
      </c>
    </row>
    <row r="81" spans="1:12" ht="39.6" x14ac:dyDescent="0.3">
      <c r="A81" s="10" t="s">
        <v>4568</v>
      </c>
      <c r="B81" s="11" t="s">
        <v>25</v>
      </c>
      <c r="C81" s="11" t="s">
        <v>4569</v>
      </c>
      <c r="D81" s="11" t="s">
        <v>4560</v>
      </c>
      <c r="E81" s="11" t="s">
        <v>4570</v>
      </c>
      <c r="F81" s="11" t="s">
        <v>1758</v>
      </c>
      <c r="G81" s="12" t="s">
        <v>59</v>
      </c>
      <c r="H81" s="12" t="s">
        <v>59</v>
      </c>
      <c r="I81" s="12" t="s">
        <v>508</v>
      </c>
      <c r="J81" s="11" t="s">
        <v>4562</v>
      </c>
      <c r="K81" s="12" t="s">
        <v>62</v>
      </c>
      <c r="L81" s="12" t="s">
        <v>510</v>
      </c>
    </row>
    <row r="82" spans="1:12" ht="39.6" x14ac:dyDescent="0.3">
      <c r="A82" s="10" t="s">
        <v>4571</v>
      </c>
      <c r="B82" s="11" t="s">
        <v>25</v>
      </c>
      <c r="C82" s="11" t="s">
        <v>4572</v>
      </c>
      <c r="D82" s="11" t="s">
        <v>4560</v>
      </c>
      <c r="E82" s="11" t="s">
        <v>4573</v>
      </c>
      <c r="F82" s="11" t="s">
        <v>1758</v>
      </c>
      <c r="G82" s="12" t="s">
        <v>59</v>
      </c>
      <c r="H82" s="12" t="s">
        <v>59</v>
      </c>
      <c r="I82" s="12" t="s">
        <v>508</v>
      </c>
      <c r="J82" s="11" t="s">
        <v>4562</v>
      </c>
      <c r="K82" s="12" t="s">
        <v>62</v>
      </c>
      <c r="L82" s="12" t="s">
        <v>510</v>
      </c>
    </row>
    <row r="83" spans="1:12" ht="39.6" x14ac:dyDescent="0.3">
      <c r="A83" s="10" t="s">
        <v>4574</v>
      </c>
      <c r="B83" s="11" t="s">
        <v>25</v>
      </c>
      <c r="C83" s="11" t="s">
        <v>4575</v>
      </c>
      <c r="D83" s="11" t="s">
        <v>4560</v>
      </c>
      <c r="E83" s="11" t="s">
        <v>4576</v>
      </c>
      <c r="F83" s="11" t="s">
        <v>1758</v>
      </c>
      <c r="G83" s="12" t="s">
        <v>59</v>
      </c>
      <c r="H83" s="12" t="s">
        <v>59</v>
      </c>
      <c r="I83" s="12" t="s">
        <v>508</v>
      </c>
      <c r="J83" s="11" t="s">
        <v>4562</v>
      </c>
      <c r="K83" s="12" t="s">
        <v>62</v>
      </c>
      <c r="L83" s="12" t="s">
        <v>510</v>
      </c>
    </row>
    <row r="84" spans="1:12" ht="26.4" x14ac:dyDescent="0.3">
      <c r="A84" s="10" t="s">
        <v>4577</v>
      </c>
      <c r="B84" s="11" t="s">
        <v>25</v>
      </c>
      <c r="C84" s="11" t="s">
        <v>4578</v>
      </c>
      <c r="D84" s="11" t="s">
        <v>4579</v>
      </c>
      <c r="E84" s="11" t="s">
        <v>4580</v>
      </c>
      <c r="F84" s="11" t="s">
        <v>4581</v>
      </c>
      <c r="G84" s="12" t="s">
        <v>59</v>
      </c>
      <c r="H84" s="12" t="s">
        <v>59</v>
      </c>
      <c r="I84" s="12" t="s">
        <v>508</v>
      </c>
      <c r="J84" s="11" t="s">
        <v>4582</v>
      </c>
      <c r="K84" s="12" t="s">
        <v>62</v>
      </c>
      <c r="L84" s="12" t="s">
        <v>510</v>
      </c>
    </row>
    <row r="85" spans="1:12" ht="26.4" x14ac:dyDescent="0.3">
      <c r="A85" s="10" t="s">
        <v>4583</v>
      </c>
      <c r="B85" s="11" t="s">
        <v>25</v>
      </c>
      <c r="C85" s="11" t="s">
        <v>4584</v>
      </c>
      <c r="D85" s="11" t="s">
        <v>4579</v>
      </c>
      <c r="E85" s="11" t="s">
        <v>4585</v>
      </c>
      <c r="F85" s="11" t="s">
        <v>4586</v>
      </c>
      <c r="G85" s="12" t="s">
        <v>59</v>
      </c>
      <c r="H85" s="12" t="s">
        <v>59</v>
      </c>
      <c r="I85" s="12" t="s">
        <v>508</v>
      </c>
      <c r="J85" s="11" t="s">
        <v>4582</v>
      </c>
      <c r="K85" s="12" t="s">
        <v>62</v>
      </c>
      <c r="L85" s="12" t="s">
        <v>510</v>
      </c>
    </row>
    <row r="86" spans="1:12" ht="26.4" x14ac:dyDescent="0.3">
      <c r="A86" s="10" t="s">
        <v>4587</v>
      </c>
      <c r="B86" s="11" t="s">
        <v>25</v>
      </c>
      <c r="C86" s="11" t="s">
        <v>4588</v>
      </c>
      <c r="D86" s="11" t="s">
        <v>4589</v>
      </c>
      <c r="E86" s="11" t="s">
        <v>4590</v>
      </c>
      <c r="F86" s="11" t="s">
        <v>4591</v>
      </c>
      <c r="G86" s="12" t="s">
        <v>59</v>
      </c>
      <c r="H86" s="12" t="s">
        <v>59</v>
      </c>
      <c r="I86" s="12" t="s">
        <v>508</v>
      </c>
      <c r="J86" s="11" t="s">
        <v>4592</v>
      </c>
      <c r="K86" s="12" t="s">
        <v>62</v>
      </c>
      <c r="L86" s="12" t="s">
        <v>510</v>
      </c>
    </row>
    <row r="87" spans="1:12" ht="26.4" x14ac:dyDescent="0.3">
      <c r="A87" s="10" t="s">
        <v>4593</v>
      </c>
      <c r="B87" s="11" t="s">
        <v>25</v>
      </c>
      <c r="C87" s="11" t="s">
        <v>4594</v>
      </c>
      <c r="D87" s="11" t="s">
        <v>4589</v>
      </c>
      <c r="E87" s="11" t="s">
        <v>4595</v>
      </c>
      <c r="F87" s="11" t="s">
        <v>4591</v>
      </c>
      <c r="G87" s="12" t="s">
        <v>59</v>
      </c>
      <c r="H87" s="12" t="s">
        <v>59</v>
      </c>
      <c r="I87" s="12" t="s">
        <v>508</v>
      </c>
      <c r="J87" s="11" t="s">
        <v>4592</v>
      </c>
      <c r="K87" s="12" t="s">
        <v>62</v>
      </c>
      <c r="L87" s="12" t="s">
        <v>510</v>
      </c>
    </row>
    <row r="88" spans="1:12" ht="26.4" x14ac:dyDescent="0.3">
      <c r="A88" s="10" t="s">
        <v>4596</v>
      </c>
      <c r="B88" s="11" t="s">
        <v>25</v>
      </c>
      <c r="C88" s="11" t="s">
        <v>4597</v>
      </c>
      <c r="D88" s="11" t="s">
        <v>4598</v>
      </c>
      <c r="E88" s="11" t="s">
        <v>4599</v>
      </c>
      <c r="F88" s="11" t="s">
        <v>4600</v>
      </c>
      <c r="G88" s="12" t="s">
        <v>59</v>
      </c>
      <c r="H88" s="12" t="s">
        <v>59</v>
      </c>
      <c r="I88" s="12" t="s">
        <v>508</v>
      </c>
      <c r="J88" s="11" t="s">
        <v>4601</v>
      </c>
      <c r="K88" s="12" t="s">
        <v>62</v>
      </c>
      <c r="L88" s="12" t="s">
        <v>510</v>
      </c>
    </row>
    <row r="89" spans="1:12" ht="26.4" x14ac:dyDescent="0.3">
      <c r="A89" s="10" t="s">
        <v>4602</v>
      </c>
      <c r="B89" s="11" t="s">
        <v>25</v>
      </c>
      <c r="C89" s="11" t="s">
        <v>4603</v>
      </c>
      <c r="D89" s="11" t="s">
        <v>4598</v>
      </c>
      <c r="E89" s="11" t="s">
        <v>4599</v>
      </c>
      <c r="F89" s="11" t="s">
        <v>4581</v>
      </c>
      <c r="G89" s="12" t="s">
        <v>59</v>
      </c>
      <c r="H89" s="12" t="s">
        <v>59</v>
      </c>
      <c r="I89" s="12" t="s">
        <v>508</v>
      </c>
      <c r="J89" s="11" t="s">
        <v>4601</v>
      </c>
      <c r="K89" s="12" t="s">
        <v>62</v>
      </c>
      <c r="L89" s="12" t="s">
        <v>510</v>
      </c>
    </row>
    <row r="90" spans="1:12" ht="26.4" x14ac:dyDescent="0.3">
      <c r="A90" s="10" t="s">
        <v>4604</v>
      </c>
      <c r="B90" s="11" t="s">
        <v>25</v>
      </c>
      <c r="C90" s="11" t="s">
        <v>4605</v>
      </c>
      <c r="D90" s="11" t="s">
        <v>4598</v>
      </c>
      <c r="E90" s="11" t="s">
        <v>4599</v>
      </c>
      <c r="F90" s="11" t="s">
        <v>4606</v>
      </c>
      <c r="G90" s="12" t="s">
        <v>59</v>
      </c>
      <c r="H90" s="12" t="s">
        <v>59</v>
      </c>
      <c r="I90" s="12" t="s">
        <v>508</v>
      </c>
      <c r="J90" s="11" t="s">
        <v>4601</v>
      </c>
      <c r="K90" s="12" t="s">
        <v>62</v>
      </c>
      <c r="L90" s="12" t="s">
        <v>510</v>
      </c>
    </row>
    <row r="91" spans="1:12" ht="26.4" x14ac:dyDescent="0.3">
      <c r="A91" s="10" t="s">
        <v>4607</v>
      </c>
      <c r="B91" s="11" t="s">
        <v>25</v>
      </c>
      <c r="C91" s="11" t="s">
        <v>4608</v>
      </c>
      <c r="D91" s="11" t="s">
        <v>4598</v>
      </c>
      <c r="E91" s="11" t="s">
        <v>4599</v>
      </c>
      <c r="F91" s="11" t="s">
        <v>4606</v>
      </c>
      <c r="G91" s="12" t="s">
        <v>59</v>
      </c>
      <c r="H91" s="12" t="s">
        <v>59</v>
      </c>
      <c r="I91" s="12" t="s">
        <v>508</v>
      </c>
      <c r="J91" s="11" t="s">
        <v>4601</v>
      </c>
      <c r="K91" s="12" t="s">
        <v>62</v>
      </c>
      <c r="L91" s="12" t="s">
        <v>510</v>
      </c>
    </row>
    <row r="92" spans="1:12" ht="26.4" x14ac:dyDescent="0.3">
      <c r="A92" s="10" t="s">
        <v>4609</v>
      </c>
      <c r="B92" s="11" t="s">
        <v>25</v>
      </c>
      <c r="C92" s="11" t="s">
        <v>4610</v>
      </c>
      <c r="D92" s="11" t="s">
        <v>4598</v>
      </c>
      <c r="E92" s="11" t="s">
        <v>4611</v>
      </c>
      <c r="F92" s="11" t="s">
        <v>4612</v>
      </c>
      <c r="G92" s="12" t="s">
        <v>59</v>
      </c>
      <c r="H92" s="12" t="s">
        <v>59</v>
      </c>
      <c r="I92" s="12" t="s">
        <v>508</v>
      </c>
      <c r="J92" s="11" t="s">
        <v>4601</v>
      </c>
      <c r="K92" s="12" t="s">
        <v>62</v>
      </c>
      <c r="L92" s="12" t="s">
        <v>510</v>
      </c>
    </row>
    <row r="93" spans="1:12" ht="26.4" x14ac:dyDescent="0.3">
      <c r="A93" s="10" t="s">
        <v>4613</v>
      </c>
      <c r="B93" s="11" t="s">
        <v>25</v>
      </c>
      <c r="C93" s="11" t="s">
        <v>4614</v>
      </c>
      <c r="D93" s="11" t="s">
        <v>4598</v>
      </c>
      <c r="E93" s="11" t="s">
        <v>4611</v>
      </c>
      <c r="F93" s="11" t="s">
        <v>4612</v>
      </c>
      <c r="G93" s="12" t="s">
        <v>59</v>
      </c>
      <c r="H93" s="12" t="s">
        <v>59</v>
      </c>
      <c r="I93" s="12" t="s">
        <v>508</v>
      </c>
      <c r="J93" s="11" t="s">
        <v>4601</v>
      </c>
      <c r="K93" s="12" t="s">
        <v>62</v>
      </c>
      <c r="L93" s="12" t="s">
        <v>510</v>
      </c>
    </row>
    <row r="94" spans="1:12" ht="26.4" x14ac:dyDescent="0.3">
      <c r="A94" s="10" t="s">
        <v>4615</v>
      </c>
      <c r="B94" s="11" t="s">
        <v>25</v>
      </c>
      <c r="C94" s="11" t="s">
        <v>4616</v>
      </c>
      <c r="D94" s="11" t="s">
        <v>4598</v>
      </c>
      <c r="E94" s="11" t="s">
        <v>4611</v>
      </c>
      <c r="F94" s="11" t="s">
        <v>4586</v>
      </c>
      <c r="G94" s="12" t="s">
        <v>59</v>
      </c>
      <c r="H94" s="12" t="s">
        <v>59</v>
      </c>
      <c r="I94" s="12" t="s">
        <v>508</v>
      </c>
      <c r="J94" s="11" t="s">
        <v>4601</v>
      </c>
      <c r="K94" s="12" t="s">
        <v>62</v>
      </c>
      <c r="L94" s="12" t="s">
        <v>510</v>
      </c>
    </row>
    <row r="95" spans="1:12" ht="26.4" x14ac:dyDescent="0.3">
      <c r="A95" s="10" t="s">
        <v>4617</v>
      </c>
      <c r="B95" s="11" t="s">
        <v>25</v>
      </c>
      <c r="C95" s="11" t="s">
        <v>4618</v>
      </c>
      <c r="D95" s="11" t="s">
        <v>4598</v>
      </c>
      <c r="E95" s="11" t="s">
        <v>4611</v>
      </c>
      <c r="F95" s="11" t="s">
        <v>4619</v>
      </c>
      <c r="G95" s="12" t="s">
        <v>59</v>
      </c>
      <c r="H95" s="12" t="s">
        <v>59</v>
      </c>
      <c r="I95" s="12" t="s">
        <v>508</v>
      </c>
      <c r="J95" s="11" t="s">
        <v>4601</v>
      </c>
      <c r="K95" s="12" t="s">
        <v>62</v>
      </c>
      <c r="L95" s="12" t="s">
        <v>510</v>
      </c>
    </row>
    <row r="96" spans="1:12" ht="26.4" x14ac:dyDescent="0.3">
      <c r="A96" s="10" t="s">
        <v>4620</v>
      </c>
      <c r="B96" s="11" t="s">
        <v>25</v>
      </c>
      <c r="C96" s="11" t="s">
        <v>4621</v>
      </c>
      <c r="D96" s="11" t="s">
        <v>4622</v>
      </c>
      <c r="E96" s="11" t="s">
        <v>4623</v>
      </c>
      <c r="F96" s="11" t="s">
        <v>3927</v>
      </c>
      <c r="G96" s="12" t="s">
        <v>59</v>
      </c>
      <c r="H96" s="12" t="s">
        <v>59</v>
      </c>
      <c r="I96" s="12" t="s">
        <v>508</v>
      </c>
      <c r="J96" s="11" t="s">
        <v>4624</v>
      </c>
      <c r="K96" s="12" t="s">
        <v>62</v>
      </c>
      <c r="L96" s="12" t="s">
        <v>510</v>
      </c>
    </row>
    <row r="97" spans="1:12" ht="26.4" x14ac:dyDescent="0.3">
      <c r="A97" s="10" t="s">
        <v>4625</v>
      </c>
      <c r="B97" s="11" t="s">
        <v>25</v>
      </c>
      <c r="C97" s="11" t="s">
        <v>4626</v>
      </c>
      <c r="D97" s="11" t="s">
        <v>4622</v>
      </c>
      <c r="E97" s="11" t="s">
        <v>4627</v>
      </c>
      <c r="F97" s="11" t="s">
        <v>3927</v>
      </c>
      <c r="G97" s="12" t="s">
        <v>59</v>
      </c>
      <c r="H97" s="12" t="s">
        <v>59</v>
      </c>
      <c r="I97" s="12" t="s">
        <v>508</v>
      </c>
      <c r="J97" s="11" t="s">
        <v>4624</v>
      </c>
      <c r="K97" s="12" t="s">
        <v>62</v>
      </c>
      <c r="L97" s="12" t="s">
        <v>510</v>
      </c>
    </row>
    <row r="98" spans="1:12" ht="26.4" x14ac:dyDescent="0.3">
      <c r="A98" s="10" t="s">
        <v>4628</v>
      </c>
      <c r="B98" s="11" t="s">
        <v>25</v>
      </c>
      <c r="C98" s="11" t="s">
        <v>4629</v>
      </c>
      <c r="D98" s="11" t="s">
        <v>4622</v>
      </c>
      <c r="E98" s="11" t="s">
        <v>4630</v>
      </c>
      <c r="F98" s="11" t="s">
        <v>3927</v>
      </c>
      <c r="G98" s="12" t="s">
        <v>59</v>
      </c>
      <c r="H98" s="12" t="s">
        <v>59</v>
      </c>
      <c r="I98" s="12" t="s">
        <v>508</v>
      </c>
      <c r="J98" s="11" t="s">
        <v>4624</v>
      </c>
      <c r="K98" s="12" t="s">
        <v>62</v>
      </c>
      <c r="L98" s="12" t="s">
        <v>510</v>
      </c>
    </row>
    <row r="99" spans="1:12" ht="26.4" x14ac:dyDescent="0.3">
      <c r="A99" s="10" t="s">
        <v>4631</v>
      </c>
      <c r="B99" s="11" t="s">
        <v>25</v>
      </c>
      <c r="C99" s="11" t="s">
        <v>4632</v>
      </c>
      <c r="D99" s="11" t="s">
        <v>4622</v>
      </c>
      <c r="E99" s="11" t="s">
        <v>4633</v>
      </c>
      <c r="F99" s="11" t="s">
        <v>3927</v>
      </c>
      <c r="G99" s="12" t="s">
        <v>59</v>
      </c>
      <c r="H99" s="12" t="s">
        <v>59</v>
      </c>
      <c r="I99" s="12" t="s">
        <v>508</v>
      </c>
      <c r="J99" s="11" t="s">
        <v>4624</v>
      </c>
      <c r="K99" s="12" t="s">
        <v>62</v>
      </c>
      <c r="L99" s="12" t="s">
        <v>510</v>
      </c>
    </row>
    <row r="100" spans="1:12" ht="26.4" x14ac:dyDescent="0.3">
      <c r="A100" s="10" t="s">
        <v>4634</v>
      </c>
      <c r="B100" s="11" t="s">
        <v>25</v>
      </c>
      <c r="C100" s="11" t="s">
        <v>4635</v>
      </c>
      <c r="D100" s="11" t="s">
        <v>4622</v>
      </c>
      <c r="E100" s="11" t="s">
        <v>4636</v>
      </c>
      <c r="F100" s="11" t="s">
        <v>3927</v>
      </c>
      <c r="G100" s="12" t="s">
        <v>59</v>
      </c>
      <c r="H100" s="12" t="s">
        <v>59</v>
      </c>
      <c r="I100" s="12" t="s">
        <v>508</v>
      </c>
      <c r="J100" s="11" t="s">
        <v>4624</v>
      </c>
      <c r="K100" s="12" t="s">
        <v>62</v>
      </c>
      <c r="L100" s="12" t="s">
        <v>510</v>
      </c>
    </row>
    <row r="101" spans="1:12" ht="26.4" x14ac:dyDescent="0.3">
      <c r="A101" s="10" t="s">
        <v>4637</v>
      </c>
      <c r="B101" s="11" t="s">
        <v>25</v>
      </c>
      <c r="C101" s="11" t="s">
        <v>4638</v>
      </c>
      <c r="D101" s="11" t="s">
        <v>4622</v>
      </c>
      <c r="E101" s="11" t="s">
        <v>4639</v>
      </c>
      <c r="F101" s="11" t="s">
        <v>3927</v>
      </c>
      <c r="G101" s="12" t="s">
        <v>59</v>
      </c>
      <c r="H101" s="12" t="s">
        <v>59</v>
      </c>
      <c r="I101" s="12" t="s">
        <v>508</v>
      </c>
      <c r="J101" s="11" t="s">
        <v>4624</v>
      </c>
      <c r="K101" s="12" t="s">
        <v>62</v>
      </c>
      <c r="L101" s="12" t="s">
        <v>510</v>
      </c>
    </row>
    <row r="102" spans="1:12" ht="26.4" x14ac:dyDescent="0.3">
      <c r="A102" s="10" t="s">
        <v>4640</v>
      </c>
      <c r="B102" s="11" t="s">
        <v>25</v>
      </c>
      <c r="C102" s="11" t="s">
        <v>4641</v>
      </c>
      <c r="D102" s="11" t="s">
        <v>4622</v>
      </c>
      <c r="E102" s="11" t="s">
        <v>4642</v>
      </c>
      <c r="F102" s="11" t="s">
        <v>3927</v>
      </c>
      <c r="G102" s="12" t="s">
        <v>59</v>
      </c>
      <c r="H102" s="12" t="s">
        <v>59</v>
      </c>
      <c r="I102" s="12" t="s">
        <v>508</v>
      </c>
      <c r="J102" s="11" t="s">
        <v>4624</v>
      </c>
      <c r="K102" s="12" t="s">
        <v>62</v>
      </c>
      <c r="L102" s="12" t="s">
        <v>510</v>
      </c>
    </row>
    <row r="103" spans="1:12" ht="26.4" x14ac:dyDescent="0.3">
      <c r="A103" s="10" t="s">
        <v>4643</v>
      </c>
      <c r="B103" s="11" t="s">
        <v>25</v>
      </c>
      <c r="C103" s="11" t="s">
        <v>4644</v>
      </c>
      <c r="D103" s="11" t="s">
        <v>4622</v>
      </c>
      <c r="E103" s="11" t="s">
        <v>4645</v>
      </c>
      <c r="F103" s="11" t="s">
        <v>3927</v>
      </c>
      <c r="G103" s="12" t="s">
        <v>59</v>
      </c>
      <c r="H103" s="12" t="s">
        <v>59</v>
      </c>
      <c r="I103" s="12" t="s">
        <v>508</v>
      </c>
      <c r="J103" s="11" t="s">
        <v>4624</v>
      </c>
      <c r="K103" s="12" t="s">
        <v>62</v>
      </c>
      <c r="L103" s="12" t="s">
        <v>510</v>
      </c>
    </row>
    <row r="104" spans="1:12" ht="26.4" x14ac:dyDescent="0.3">
      <c r="A104" s="10" t="s">
        <v>4646</v>
      </c>
      <c r="B104" s="11" t="s">
        <v>25</v>
      </c>
      <c r="C104" s="11" t="s">
        <v>4647</v>
      </c>
      <c r="D104" s="11" t="s">
        <v>4648</v>
      </c>
      <c r="E104" s="11" t="s">
        <v>4649</v>
      </c>
      <c r="F104" s="11" t="s">
        <v>4650</v>
      </c>
      <c r="G104" s="12" t="s">
        <v>59</v>
      </c>
      <c r="H104" s="12" t="s">
        <v>59</v>
      </c>
      <c r="I104" s="12" t="s">
        <v>508</v>
      </c>
      <c r="J104" s="11" t="s">
        <v>4651</v>
      </c>
      <c r="K104" s="12" t="s">
        <v>62</v>
      </c>
      <c r="L104" s="12" t="s">
        <v>510</v>
      </c>
    </row>
    <row r="105" spans="1:12" ht="26.4" x14ac:dyDescent="0.3">
      <c r="A105" s="10" t="s">
        <v>4652</v>
      </c>
      <c r="B105" s="11" t="s">
        <v>25</v>
      </c>
      <c r="C105" s="11" t="s">
        <v>4653</v>
      </c>
      <c r="D105" s="11" t="s">
        <v>4648</v>
      </c>
      <c r="E105" s="11" t="s">
        <v>4654</v>
      </c>
      <c r="F105" s="11" t="s">
        <v>4655</v>
      </c>
      <c r="G105" s="12" t="s">
        <v>59</v>
      </c>
      <c r="H105" s="12" t="s">
        <v>59</v>
      </c>
      <c r="I105" s="12" t="s">
        <v>508</v>
      </c>
      <c r="J105" s="11" t="s">
        <v>4651</v>
      </c>
      <c r="K105" s="12" t="s">
        <v>62</v>
      </c>
      <c r="L105" s="12" t="s">
        <v>510</v>
      </c>
    </row>
    <row r="106" spans="1:12" ht="26.4" x14ac:dyDescent="0.3">
      <c r="A106" s="10" t="s">
        <v>4656</v>
      </c>
      <c r="B106" s="11" t="s">
        <v>25</v>
      </c>
      <c r="C106" s="11" t="s">
        <v>4657</v>
      </c>
      <c r="D106" s="11" t="s">
        <v>4648</v>
      </c>
      <c r="E106" s="11" t="s">
        <v>4658</v>
      </c>
      <c r="F106" s="11" t="s">
        <v>4659</v>
      </c>
      <c r="G106" s="12" t="s">
        <v>59</v>
      </c>
      <c r="H106" s="12" t="s">
        <v>59</v>
      </c>
      <c r="I106" s="12" t="s">
        <v>508</v>
      </c>
      <c r="J106" s="11" t="s">
        <v>4651</v>
      </c>
      <c r="K106" s="12" t="s">
        <v>62</v>
      </c>
      <c r="L106" s="12" t="s">
        <v>510</v>
      </c>
    </row>
    <row r="107" spans="1:12" ht="26.4" x14ac:dyDescent="0.3">
      <c r="A107" s="10" t="s">
        <v>4660</v>
      </c>
      <c r="B107" s="11" t="s">
        <v>25</v>
      </c>
      <c r="C107" s="11" t="s">
        <v>4661</v>
      </c>
      <c r="D107" s="11" t="s">
        <v>4648</v>
      </c>
      <c r="E107" s="11" t="s">
        <v>4662</v>
      </c>
      <c r="F107" s="11" t="s">
        <v>4663</v>
      </c>
      <c r="G107" s="12" t="s">
        <v>59</v>
      </c>
      <c r="H107" s="12" t="s">
        <v>59</v>
      </c>
      <c r="I107" s="12" t="s">
        <v>508</v>
      </c>
      <c r="J107" s="11" t="s">
        <v>4651</v>
      </c>
      <c r="K107" s="12" t="s">
        <v>62</v>
      </c>
      <c r="L107" s="12" t="s">
        <v>510</v>
      </c>
    </row>
    <row r="108" spans="1:12" ht="26.4" x14ac:dyDescent="0.3">
      <c r="A108" s="10" t="s">
        <v>4664</v>
      </c>
      <c r="B108" s="11" t="s">
        <v>25</v>
      </c>
      <c r="C108" s="11" t="s">
        <v>4665</v>
      </c>
      <c r="D108" s="11" t="s">
        <v>4648</v>
      </c>
      <c r="E108" s="11" t="s">
        <v>4666</v>
      </c>
      <c r="F108" s="11" t="s">
        <v>4667</v>
      </c>
      <c r="G108" s="12" t="s">
        <v>59</v>
      </c>
      <c r="H108" s="12" t="s">
        <v>59</v>
      </c>
      <c r="I108" s="12" t="s">
        <v>508</v>
      </c>
      <c r="J108" s="11" t="s">
        <v>4651</v>
      </c>
      <c r="K108" s="12" t="s">
        <v>62</v>
      </c>
      <c r="L108" s="12" t="s">
        <v>510</v>
      </c>
    </row>
    <row r="109" spans="1:12" ht="26.4" x14ac:dyDescent="0.3">
      <c r="A109" s="10" t="s">
        <v>4668</v>
      </c>
      <c r="B109" s="11" t="s">
        <v>25</v>
      </c>
      <c r="C109" s="11" t="s">
        <v>4669</v>
      </c>
      <c r="D109" s="11" t="s">
        <v>4648</v>
      </c>
      <c r="E109" s="11" t="s">
        <v>4670</v>
      </c>
      <c r="F109" s="11" t="s">
        <v>4671</v>
      </c>
      <c r="G109" s="12" t="s">
        <v>59</v>
      </c>
      <c r="H109" s="12" t="s">
        <v>59</v>
      </c>
      <c r="I109" s="12" t="s">
        <v>508</v>
      </c>
      <c r="J109" s="11" t="s">
        <v>4651</v>
      </c>
      <c r="K109" s="12" t="s">
        <v>62</v>
      </c>
      <c r="L109" s="12" t="s">
        <v>510</v>
      </c>
    </row>
    <row r="110" spans="1:12" ht="26.4" x14ac:dyDescent="0.3">
      <c r="A110" s="10" t="s">
        <v>4672</v>
      </c>
      <c r="B110" s="11" t="s">
        <v>25</v>
      </c>
      <c r="C110" s="11" t="s">
        <v>4673</v>
      </c>
      <c r="D110" s="11" t="s">
        <v>4648</v>
      </c>
      <c r="E110" s="11" t="s">
        <v>4674</v>
      </c>
      <c r="F110" s="11" t="s">
        <v>4675</v>
      </c>
      <c r="G110" s="12" t="s">
        <v>59</v>
      </c>
      <c r="H110" s="12" t="s">
        <v>59</v>
      </c>
      <c r="I110" s="12" t="s">
        <v>508</v>
      </c>
      <c r="J110" s="11" t="s">
        <v>4651</v>
      </c>
      <c r="K110" s="12" t="s">
        <v>62</v>
      </c>
      <c r="L110" s="12" t="s">
        <v>510</v>
      </c>
    </row>
    <row r="111" spans="1:12" ht="26.4" x14ac:dyDescent="0.3">
      <c r="A111" s="10" t="s">
        <v>4676</v>
      </c>
      <c r="B111" s="11" t="s">
        <v>25</v>
      </c>
      <c r="C111" s="11" t="s">
        <v>4677</v>
      </c>
      <c r="D111" s="11" t="s">
        <v>4648</v>
      </c>
      <c r="E111" s="11" t="s">
        <v>4678</v>
      </c>
      <c r="F111" s="11" t="s">
        <v>4679</v>
      </c>
      <c r="G111" s="12" t="s">
        <v>59</v>
      </c>
      <c r="H111" s="12" t="s">
        <v>59</v>
      </c>
      <c r="I111" s="12" t="s">
        <v>508</v>
      </c>
      <c r="J111" s="11" t="s">
        <v>4651</v>
      </c>
      <c r="K111" s="12" t="s">
        <v>62</v>
      </c>
      <c r="L111" s="12" t="s">
        <v>510</v>
      </c>
    </row>
    <row r="112" spans="1:12" ht="26.4" x14ac:dyDescent="0.3">
      <c r="A112" s="10" t="s">
        <v>4680</v>
      </c>
      <c r="B112" s="11" t="s">
        <v>25</v>
      </c>
      <c r="C112" s="11" t="s">
        <v>4681</v>
      </c>
      <c r="D112" s="11" t="s">
        <v>4648</v>
      </c>
      <c r="E112" s="11" t="s">
        <v>4682</v>
      </c>
      <c r="F112" s="11" t="s">
        <v>4683</v>
      </c>
      <c r="G112" s="12" t="s">
        <v>59</v>
      </c>
      <c r="H112" s="12" t="s">
        <v>59</v>
      </c>
      <c r="I112" s="12" t="s">
        <v>508</v>
      </c>
      <c r="J112" s="11" t="s">
        <v>4651</v>
      </c>
      <c r="K112" s="12" t="s">
        <v>62</v>
      </c>
      <c r="L112" s="12" t="s">
        <v>510</v>
      </c>
    </row>
    <row r="113" spans="1:12" ht="26.4" x14ac:dyDescent="0.3">
      <c r="A113" s="10" t="s">
        <v>4684</v>
      </c>
      <c r="B113" s="11" t="s">
        <v>25</v>
      </c>
      <c r="C113" s="11" t="s">
        <v>4647</v>
      </c>
      <c r="D113" s="11" t="s">
        <v>4648</v>
      </c>
      <c r="E113" s="11" t="s">
        <v>4649</v>
      </c>
      <c r="F113" s="11" t="s">
        <v>4685</v>
      </c>
      <c r="G113" s="12" t="s">
        <v>59</v>
      </c>
      <c r="H113" s="12" t="s">
        <v>59</v>
      </c>
      <c r="I113" s="12" t="s">
        <v>508</v>
      </c>
      <c r="J113" s="11" t="s">
        <v>4651</v>
      </c>
      <c r="K113" s="12" t="s">
        <v>62</v>
      </c>
      <c r="L113" s="12" t="s">
        <v>510</v>
      </c>
    </row>
    <row r="114" spans="1:12" ht="26.4" x14ac:dyDescent="0.3">
      <c r="A114" s="10" t="s">
        <v>4686</v>
      </c>
      <c r="B114" s="11" t="s">
        <v>25</v>
      </c>
      <c r="C114" s="11" t="s">
        <v>4687</v>
      </c>
      <c r="D114" s="11" t="s">
        <v>4648</v>
      </c>
      <c r="E114" s="11" t="s">
        <v>4688</v>
      </c>
      <c r="F114" s="11" t="s">
        <v>4689</v>
      </c>
      <c r="G114" s="12" t="s">
        <v>59</v>
      </c>
      <c r="H114" s="12" t="s">
        <v>59</v>
      </c>
      <c r="I114" s="12" t="s">
        <v>508</v>
      </c>
      <c r="J114" s="11" t="s">
        <v>4651</v>
      </c>
      <c r="K114" s="12" t="s">
        <v>62</v>
      </c>
      <c r="L114" s="12" t="s">
        <v>510</v>
      </c>
    </row>
    <row r="115" spans="1:12" ht="26.4" x14ac:dyDescent="0.3">
      <c r="A115" s="10" t="s">
        <v>4690</v>
      </c>
      <c r="B115" s="11" t="s">
        <v>25</v>
      </c>
      <c r="C115" s="11" t="s">
        <v>4691</v>
      </c>
      <c r="D115" s="11" t="s">
        <v>4648</v>
      </c>
      <c r="E115" s="11" t="s">
        <v>4692</v>
      </c>
      <c r="F115" s="11" t="s">
        <v>4693</v>
      </c>
      <c r="G115" s="12" t="s">
        <v>59</v>
      </c>
      <c r="H115" s="12" t="s">
        <v>59</v>
      </c>
      <c r="I115" s="12" t="s">
        <v>508</v>
      </c>
      <c r="J115" s="11" t="s">
        <v>4651</v>
      </c>
      <c r="K115" s="12" t="s">
        <v>62</v>
      </c>
      <c r="L115" s="12" t="s">
        <v>510</v>
      </c>
    </row>
    <row r="116" spans="1:12" ht="26.4" x14ac:dyDescent="0.3">
      <c r="A116" s="10" t="s">
        <v>4694</v>
      </c>
      <c r="B116" s="11" t="s">
        <v>25</v>
      </c>
      <c r="C116" s="11" t="s">
        <v>4695</v>
      </c>
      <c r="D116" s="11" t="s">
        <v>4648</v>
      </c>
      <c r="E116" s="11" t="s">
        <v>4696</v>
      </c>
      <c r="F116" s="11" t="s">
        <v>4697</v>
      </c>
      <c r="G116" s="12" t="s">
        <v>59</v>
      </c>
      <c r="H116" s="12" t="s">
        <v>59</v>
      </c>
      <c r="I116" s="12" t="s">
        <v>508</v>
      </c>
      <c r="J116" s="11" t="s">
        <v>4651</v>
      </c>
      <c r="K116" s="12" t="s">
        <v>62</v>
      </c>
      <c r="L116" s="12" t="s">
        <v>510</v>
      </c>
    </row>
    <row r="117" spans="1:12" ht="26.4" x14ac:dyDescent="0.3">
      <c r="A117" s="10" t="s">
        <v>4698</v>
      </c>
      <c r="B117" s="11" t="s">
        <v>25</v>
      </c>
      <c r="C117" s="11" t="s">
        <v>4699</v>
      </c>
      <c r="D117" s="11" t="s">
        <v>4648</v>
      </c>
      <c r="E117" s="11" t="s">
        <v>4700</v>
      </c>
      <c r="F117" s="11" t="s">
        <v>4701</v>
      </c>
      <c r="G117" s="12" t="s">
        <v>59</v>
      </c>
      <c r="H117" s="12" t="s">
        <v>59</v>
      </c>
      <c r="I117" s="12" t="s">
        <v>508</v>
      </c>
      <c r="J117" s="11" t="s">
        <v>4651</v>
      </c>
      <c r="K117" s="12" t="s">
        <v>62</v>
      </c>
      <c r="L117" s="12" t="s">
        <v>510</v>
      </c>
    </row>
    <row r="118" spans="1:12" ht="26.4" x14ac:dyDescent="0.3">
      <c r="A118" s="10" t="s">
        <v>4702</v>
      </c>
      <c r="B118" s="11" t="s">
        <v>26</v>
      </c>
      <c r="C118" s="11" t="s">
        <v>4703</v>
      </c>
      <c r="D118" s="11" t="s">
        <v>4704</v>
      </c>
      <c r="E118" s="11" t="s">
        <v>3501</v>
      </c>
      <c r="F118" s="11" t="s">
        <v>4705</v>
      </c>
      <c r="G118" s="12" t="s">
        <v>59</v>
      </c>
      <c r="H118" s="12" t="s">
        <v>59</v>
      </c>
      <c r="I118" s="12" t="s">
        <v>60</v>
      </c>
      <c r="J118" s="11" t="s">
        <v>4296</v>
      </c>
      <c r="K118" s="12" t="s">
        <v>62</v>
      </c>
      <c r="L118" s="12" t="s">
        <v>4297</v>
      </c>
    </row>
    <row r="119" spans="1:12" x14ac:dyDescent="0.3">
      <c r="A119" s="10" t="s">
        <v>4706</v>
      </c>
      <c r="B119" s="11" t="s">
        <v>26</v>
      </c>
      <c r="C119" s="11" t="s">
        <v>4707</v>
      </c>
      <c r="D119" s="11" t="s">
        <v>3506</v>
      </c>
      <c r="E119" s="11" t="s">
        <v>3507</v>
      </c>
      <c r="F119" s="11" t="s">
        <v>4708</v>
      </c>
      <c r="G119" s="12" t="s">
        <v>59</v>
      </c>
      <c r="H119" s="12" t="s">
        <v>59</v>
      </c>
      <c r="I119" s="12" t="s">
        <v>60</v>
      </c>
      <c r="J119" s="11" t="s">
        <v>4296</v>
      </c>
      <c r="K119" s="12" t="s">
        <v>62</v>
      </c>
      <c r="L119" s="12" t="s">
        <v>4297</v>
      </c>
    </row>
    <row r="120" spans="1:12" ht="26.4" x14ac:dyDescent="0.3">
      <c r="A120" s="10" t="s">
        <v>4709</v>
      </c>
      <c r="B120" s="11" t="s">
        <v>26</v>
      </c>
      <c r="C120" s="11" t="s">
        <v>4710</v>
      </c>
      <c r="D120" s="11" t="s">
        <v>4711</v>
      </c>
      <c r="E120" s="11" t="s">
        <v>2497</v>
      </c>
      <c r="F120" s="11" t="s">
        <v>4712</v>
      </c>
      <c r="G120" s="12" t="s">
        <v>59</v>
      </c>
      <c r="H120" s="12" t="s">
        <v>59</v>
      </c>
      <c r="I120" s="12" t="s">
        <v>508</v>
      </c>
      <c r="J120" s="11" t="s">
        <v>4713</v>
      </c>
      <c r="K120" s="12" t="s">
        <v>62</v>
      </c>
      <c r="L120" s="12" t="s">
        <v>510</v>
      </c>
    </row>
    <row r="121" spans="1:12" ht="26.4" x14ac:dyDescent="0.3">
      <c r="A121" s="10" t="s">
        <v>4714</v>
      </c>
      <c r="B121" s="11" t="s">
        <v>26</v>
      </c>
      <c r="C121" s="11" t="s">
        <v>4710</v>
      </c>
      <c r="D121" s="11" t="s">
        <v>4711</v>
      </c>
      <c r="E121" s="11" t="s">
        <v>4715</v>
      </c>
      <c r="F121" s="11" t="s">
        <v>4716</v>
      </c>
      <c r="G121" s="12" t="s">
        <v>59</v>
      </c>
      <c r="H121" s="12" t="s">
        <v>59</v>
      </c>
      <c r="I121" s="12" t="s">
        <v>508</v>
      </c>
      <c r="J121" s="11" t="s">
        <v>4713</v>
      </c>
      <c r="K121" s="12" t="s">
        <v>62</v>
      </c>
      <c r="L121" s="12" t="s">
        <v>510</v>
      </c>
    </row>
    <row r="122" spans="1:12" ht="26.4" x14ac:dyDescent="0.3">
      <c r="A122" s="10" t="s">
        <v>4717</v>
      </c>
      <c r="B122" s="11" t="s">
        <v>26</v>
      </c>
      <c r="C122" s="11" t="s">
        <v>4710</v>
      </c>
      <c r="D122" s="11" t="s">
        <v>4711</v>
      </c>
      <c r="E122" s="11" t="s">
        <v>4718</v>
      </c>
      <c r="F122" s="11" t="s">
        <v>4719</v>
      </c>
      <c r="G122" s="12" t="s">
        <v>59</v>
      </c>
      <c r="H122" s="12" t="s">
        <v>59</v>
      </c>
      <c r="I122" s="12" t="s">
        <v>508</v>
      </c>
      <c r="J122" s="11" t="s">
        <v>4713</v>
      </c>
      <c r="K122" s="12" t="s">
        <v>62</v>
      </c>
      <c r="L122" s="12" t="s">
        <v>510</v>
      </c>
    </row>
    <row r="123" spans="1:12" ht="26.4" x14ac:dyDescent="0.3">
      <c r="A123" s="10" t="s">
        <v>4720</v>
      </c>
      <c r="B123" s="11" t="s">
        <v>26</v>
      </c>
      <c r="C123" s="11" t="s">
        <v>4710</v>
      </c>
      <c r="D123" s="11" t="s">
        <v>4711</v>
      </c>
      <c r="E123" s="11" t="s">
        <v>4721</v>
      </c>
      <c r="F123" s="11" t="s">
        <v>4722</v>
      </c>
      <c r="G123" s="12" t="s">
        <v>59</v>
      </c>
      <c r="H123" s="12" t="s">
        <v>59</v>
      </c>
      <c r="I123" s="12" t="s">
        <v>508</v>
      </c>
      <c r="J123" s="11" t="s">
        <v>4713</v>
      </c>
      <c r="K123" s="12" t="s">
        <v>62</v>
      </c>
      <c r="L123" s="12" t="s">
        <v>510</v>
      </c>
    </row>
    <row r="124" spans="1:12" ht="26.4" x14ac:dyDescent="0.3">
      <c r="A124" s="10" t="s">
        <v>4723</v>
      </c>
      <c r="B124" s="11" t="s">
        <v>26</v>
      </c>
      <c r="C124" s="11" t="s">
        <v>4710</v>
      </c>
      <c r="D124" s="11" t="s">
        <v>4711</v>
      </c>
      <c r="E124" s="11" t="s">
        <v>4724</v>
      </c>
      <c r="F124" s="11" t="s">
        <v>4725</v>
      </c>
      <c r="G124" s="12" t="s">
        <v>59</v>
      </c>
      <c r="H124" s="12" t="s">
        <v>59</v>
      </c>
      <c r="I124" s="12" t="s">
        <v>508</v>
      </c>
      <c r="J124" s="11" t="s">
        <v>4713</v>
      </c>
      <c r="K124" s="12" t="s">
        <v>62</v>
      </c>
      <c r="L124" s="12" t="s">
        <v>510</v>
      </c>
    </row>
    <row r="125" spans="1:12" ht="26.4" x14ac:dyDescent="0.3">
      <c r="A125" s="10" t="s">
        <v>4726</v>
      </c>
      <c r="B125" s="11" t="s">
        <v>26</v>
      </c>
      <c r="C125" s="11" t="s">
        <v>4710</v>
      </c>
      <c r="D125" s="11" t="s">
        <v>4711</v>
      </c>
      <c r="E125" s="11" t="s">
        <v>4727</v>
      </c>
      <c r="F125" s="11" t="s">
        <v>4728</v>
      </c>
      <c r="G125" s="12" t="s">
        <v>59</v>
      </c>
      <c r="H125" s="12" t="s">
        <v>59</v>
      </c>
      <c r="I125" s="12" t="s">
        <v>508</v>
      </c>
      <c r="J125" s="11" t="s">
        <v>4713</v>
      </c>
      <c r="K125" s="12" t="s">
        <v>62</v>
      </c>
      <c r="L125" s="12" t="s">
        <v>510</v>
      </c>
    </row>
    <row r="126" spans="1:12" ht="26.4" x14ac:dyDescent="0.3">
      <c r="A126" s="10" t="s">
        <v>4729</v>
      </c>
      <c r="B126" s="11" t="s">
        <v>26</v>
      </c>
      <c r="C126" s="11" t="s">
        <v>4710</v>
      </c>
      <c r="D126" s="11" t="s">
        <v>4711</v>
      </c>
      <c r="E126" s="11" t="s">
        <v>4730</v>
      </c>
      <c r="F126" s="11" t="s">
        <v>4731</v>
      </c>
      <c r="G126" s="12" t="s">
        <v>59</v>
      </c>
      <c r="H126" s="12" t="s">
        <v>59</v>
      </c>
      <c r="I126" s="12" t="s">
        <v>508</v>
      </c>
      <c r="J126" s="11" t="s">
        <v>4713</v>
      </c>
      <c r="K126" s="12" t="s">
        <v>62</v>
      </c>
      <c r="L126" s="12" t="s">
        <v>510</v>
      </c>
    </row>
    <row r="127" spans="1:12" ht="26.4" x14ac:dyDescent="0.3">
      <c r="A127" s="10" t="s">
        <v>4732</v>
      </c>
      <c r="B127" s="11" t="s">
        <v>26</v>
      </c>
      <c r="C127" s="11" t="s">
        <v>4710</v>
      </c>
      <c r="D127" s="11" t="s">
        <v>4711</v>
      </c>
      <c r="E127" s="11" t="s">
        <v>4733</v>
      </c>
      <c r="F127" s="11" t="s">
        <v>4734</v>
      </c>
      <c r="G127" s="12" t="s">
        <v>59</v>
      </c>
      <c r="H127" s="12" t="s">
        <v>59</v>
      </c>
      <c r="I127" s="12" t="s">
        <v>508</v>
      </c>
      <c r="J127" s="11" t="s">
        <v>4713</v>
      </c>
      <c r="K127" s="12" t="s">
        <v>62</v>
      </c>
      <c r="L127" s="12" t="s">
        <v>510</v>
      </c>
    </row>
    <row r="128" spans="1:12" ht="26.4" x14ac:dyDescent="0.3">
      <c r="A128" s="10" t="s">
        <v>4735</v>
      </c>
      <c r="B128" s="11" t="s">
        <v>26</v>
      </c>
      <c r="C128" s="11" t="s">
        <v>4710</v>
      </c>
      <c r="D128" s="11" t="s">
        <v>4711</v>
      </c>
      <c r="E128" s="11" t="s">
        <v>2390</v>
      </c>
      <c r="F128" s="11" t="s">
        <v>4736</v>
      </c>
      <c r="G128" s="12" t="s">
        <v>59</v>
      </c>
      <c r="H128" s="12" t="s">
        <v>59</v>
      </c>
      <c r="I128" s="12" t="s">
        <v>508</v>
      </c>
      <c r="J128" s="11" t="s">
        <v>4713</v>
      </c>
      <c r="K128" s="12" t="s">
        <v>62</v>
      </c>
      <c r="L128" s="12" t="s">
        <v>510</v>
      </c>
    </row>
    <row r="129" spans="1:12" ht="26.4" x14ac:dyDescent="0.3">
      <c r="A129" s="10" t="s">
        <v>4737</v>
      </c>
      <c r="B129" s="11" t="s">
        <v>26</v>
      </c>
      <c r="C129" s="11" t="s">
        <v>4710</v>
      </c>
      <c r="D129" s="11" t="s">
        <v>4711</v>
      </c>
      <c r="E129" s="11" t="s">
        <v>4738</v>
      </c>
      <c r="F129" s="11" t="s">
        <v>4739</v>
      </c>
      <c r="G129" s="12" t="s">
        <v>59</v>
      </c>
      <c r="H129" s="12" t="s">
        <v>59</v>
      </c>
      <c r="I129" s="12" t="s">
        <v>508</v>
      </c>
      <c r="J129" s="11" t="s">
        <v>4713</v>
      </c>
      <c r="K129" s="12" t="s">
        <v>62</v>
      </c>
      <c r="L129" s="12" t="s">
        <v>510</v>
      </c>
    </row>
    <row r="130" spans="1:12" ht="26.4" x14ac:dyDescent="0.3">
      <c r="A130" s="10" t="s">
        <v>4740</v>
      </c>
      <c r="B130" s="11" t="s">
        <v>26</v>
      </c>
      <c r="C130" s="11" t="s">
        <v>4741</v>
      </c>
      <c r="D130" s="11" t="s">
        <v>4742</v>
      </c>
      <c r="E130" s="11" t="s">
        <v>4743</v>
      </c>
      <c r="F130" s="11" t="s">
        <v>4744</v>
      </c>
      <c r="G130" s="12" t="s">
        <v>59</v>
      </c>
      <c r="H130" s="12" t="s">
        <v>59</v>
      </c>
      <c r="I130" s="12" t="s">
        <v>508</v>
      </c>
      <c r="J130" s="11" t="s">
        <v>4745</v>
      </c>
      <c r="K130" s="12" t="s">
        <v>62</v>
      </c>
      <c r="L130" s="12" t="s">
        <v>510</v>
      </c>
    </row>
    <row r="131" spans="1:12" ht="26.4" x14ac:dyDescent="0.3">
      <c r="A131" s="10" t="s">
        <v>4746</v>
      </c>
      <c r="B131" s="11" t="s">
        <v>26</v>
      </c>
      <c r="C131" s="11" t="s">
        <v>4741</v>
      </c>
      <c r="D131" s="11" t="s">
        <v>4742</v>
      </c>
      <c r="E131" s="11" t="s">
        <v>4747</v>
      </c>
      <c r="F131" s="11" t="s">
        <v>4744</v>
      </c>
      <c r="G131" s="12" t="s">
        <v>59</v>
      </c>
      <c r="H131" s="12" t="s">
        <v>59</v>
      </c>
      <c r="I131" s="12" t="s">
        <v>508</v>
      </c>
      <c r="J131" s="11" t="s">
        <v>4745</v>
      </c>
      <c r="K131" s="12" t="s">
        <v>62</v>
      </c>
      <c r="L131" s="12" t="s">
        <v>510</v>
      </c>
    </row>
    <row r="132" spans="1:12" ht="39.6" x14ac:dyDescent="0.3">
      <c r="A132" s="10" t="s">
        <v>4748</v>
      </c>
      <c r="B132" s="11" t="s">
        <v>27</v>
      </c>
      <c r="C132" s="11" t="s">
        <v>4749</v>
      </c>
      <c r="D132" s="11" t="s">
        <v>4750</v>
      </c>
      <c r="E132" s="11" t="s">
        <v>4751</v>
      </c>
      <c r="F132" s="11" t="s">
        <v>4752</v>
      </c>
      <c r="G132" s="12" t="s">
        <v>59</v>
      </c>
      <c r="H132" s="12" t="s">
        <v>59</v>
      </c>
      <c r="I132" s="12" t="s">
        <v>508</v>
      </c>
      <c r="J132" s="11" t="s">
        <v>4753</v>
      </c>
      <c r="K132" s="12" t="s">
        <v>62</v>
      </c>
      <c r="L132" s="12" t="s">
        <v>510</v>
      </c>
    </row>
    <row r="133" spans="1:12" ht="39.6" x14ac:dyDescent="0.3">
      <c r="A133" s="10" t="s">
        <v>4754</v>
      </c>
      <c r="B133" s="11" t="s">
        <v>27</v>
      </c>
      <c r="C133" s="11" t="s">
        <v>4755</v>
      </c>
      <c r="D133" s="11" t="s">
        <v>4756</v>
      </c>
      <c r="E133" s="11" t="s">
        <v>4757</v>
      </c>
      <c r="F133" s="11" t="s">
        <v>4758</v>
      </c>
      <c r="G133" s="12" t="s">
        <v>59</v>
      </c>
      <c r="H133" s="12" t="s">
        <v>59</v>
      </c>
      <c r="I133" s="12" t="s">
        <v>508</v>
      </c>
      <c r="J133" s="11" t="s">
        <v>4759</v>
      </c>
      <c r="K133" s="12" t="s">
        <v>62</v>
      </c>
      <c r="L133" s="12" t="s">
        <v>510</v>
      </c>
    </row>
    <row r="134" spans="1:12" ht="39.6" x14ac:dyDescent="0.3">
      <c r="A134" s="10" t="s">
        <v>4760</v>
      </c>
      <c r="B134" s="11" t="s">
        <v>27</v>
      </c>
      <c r="C134" s="11" t="s">
        <v>4761</v>
      </c>
      <c r="D134" s="11" t="s">
        <v>4762</v>
      </c>
      <c r="E134" s="11" t="s">
        <v>4763</v>
      </c>
      <c r="F134" s="11" t="s">
        <v>4764</v>
      </c>
      <c r="G134" s="12" t="s">
        <v>59</v>
      </c>
      <c r="H134" s="12" t="s">
        <v>59</v>
      </c>
      <c r="I134" s="12" t="s">
        <v>508</v>
      </c>
      <c r="J134" s="11" t="s">
        <v>4765</v>
      </c>
      <c r="K134" s="12" t="s">
        <v>62</v>
      </c>
      <c r="L134" s="12" t="s">
        <v>510</v>
      </c>
    </row>
    <row r="135" spans="1:12" ht="39.6" x14ac:dyDescent="0.3">
      <c r="A135" s="10" t="s">
        <v>4766</v>
      </c>
      <c r="B135" s="11" t="s">
        <v>27</v>
      </c>
      <c r="C135" s="11" t="s">
        <v>4767</v>
      </c>
      <c r="D135" s="11" t="s">
        <v>4768</v>
      </c>
      <c r="E135" s="11" t="s">
        <v>4769</v>
      </c>
      <c r="F135" s="11" t="s">
        <v>4770</v>
      </c>
      <c r="G135" s="12" t="s">
        <v>59</v>
      </c>
      <c r="H135" s="12" t="s">
        <v>59</v>
      </c>
      <c r="I135" s="12" t="s">
        <v>508</v>
      </c>
      <c r="J135" s="11" t="s">
        <v>4771</v>
      </c>
      <c r="K135" s="12" t="s">
        <v>62</v>
      </c>
      <c r="L135" s="12" t="s">
        <v>510</v>
      </c>
    </row>
    <row r="136" spans="1:12" ht="39.6" x14ac:dyDescent="0.3">
      <c r="A136" s="10" t="s">
        <v>4772</v>
      </c>
      <c r="B136" s="11" t="s">
        <v>27</v>
      </c>
      <c r="C136" s="11" t="s">
        <v>4773</v>
      </c>
      <c r="D136" s="11" t="s">
        <v>4774</v>
      </c>
      <c r="E136" s="11" t="s">
        <v>4775</v>
      </c>
      <c r="F136" s="11" t="s">
        <v>4776</v>
      </c>
      <c r="G136" s="12" t="s">
        <v>59</v>
      </c>
      <c r="H136" s="12" t="s">
        <v>59</v>
      </c>
      <c r="I136" s="12" t="s">
        <v>508</v>
      </c>
      <c r="J136" s="11" t="s">
        <v>4777</v>
      </c>
      <c r="K136" s="12" t="s">
        <v>62</v>
      </c>
      <c r="L136" s="12" t="s">
        <v>510</v>
      </c>
    </row>
    <row r="137" spans="1:12" ht="39.6" x14ac:dyDescent="0.3">
      <c r="A137" s="10" t="s">
        <v>4778</v>
      </c>
      <c r="B137" s="11" t="s">
        <v>27</v>
      </c>
      <c r="C137" s="11" t="s">
        <v>4779</v>
      </c>
      <c r="D137" s="11" t="s">
        <v>4780</v>
      </c>
      <c r="E137" s="11" t="s">
        <v>4781</v>
      </c>
      <c r="F137" s="11" t="s">
        <v>4782</v>
      </c>
      <c r="G137" s="12" t="s">
        <v>59</v>
      </c>
      <c r="H137" s="12" t="s">
        <v>59</v>
      </c>
      <c r="I137" s="12" t="s">
        <v>508</v>
      </c>
      <c r="J137" s="11" t="s">
        <v>4783</v>
      </c>
      <c r="K137" s="12" t="s">
        <v>62</v>
      </c>
      <c r="L137" s="12" t="s">
        <v>510</v>
      </c>
    </row>
    <row r="138" spans="1:12" ht="39.6" x14ac:dyDescent="0.3">
      <c r="A138" s="10" t="s">
        <v>4784</v>
      </c>
      <c r="B138" s="11" t="s">
        <v>27</v>
      </c>
      <c r="C138" s="11" t="s">
        <v>4785</v>
      </c>
      <c r="D138" s="11" t="s">
        <v>4786</v>
      </c>
      <c r="E138" s="11" t="s">
        <v>4787</v>
      </c>
      <c r="F138" s="11" t="s">
        <v>4788</v>
      </c>
      <c r="G138" s="12" t="s">
        <v>59</v>
      </c>
      <c r="H138" s="12" t="s">
        <v>59</v>
      </c>
      <c r="I138" s="12" t="s">
        <v>508</v>
      </c>
      <c r="J138" s="11" t="s">
        <v>4789</v>
      </c>
      <c r="K138" s="12" t="s">
        <v>62</v>
      </c>
      <c r="L138" s="12" t="s">
        <v>510</v>
      </c>
    </row>
    <row r="139" spans="1:12" ht="39.6" x14ac:dyDescent="0.3">
      <c r="A139" s="10" t="s">
        <v>4790</v>
      </c>
      <c r="B139" s="11" t="s">
        <v>27</v>
      </c>
      <c r="C139" s="11" t="s">
        <v>4791</v>
      </c>
      <c r="D139" s="11" t="s">
        <v>4792</v>
      </c>
      <c r="E139" s="11" t="s">
        <v>4793</v>
      </c>
      <c r="F139" s="11" t="s">
        <v>4794</v>
      </c>
      <c r="G139" s="12" t="s">
        <v>59</v>
      </c>
      <c r="H139" s="12" t="s">
        <v>59</v>
      </c>
      <c r="I139" s="12" t="s">
        <v>508</v>
      </c>
      <c r="J139" s="11" t="s">
        <v>4795</v>
      </c>
      <c r="K139" s="12" t="s">
        <v>62</v>
      </c>
      <c r="L139" s="12" t="s">
        <v>510</v>
      </c>
    </row>
    <row r="140" spans="1:12" ht="39.6" x14ac:dyDescent="0.3">
      <c r="A140" s="10" t="s">
        <v>4796</v>
      </c>
      <c r="B140" s="11" t="s">
        <v>27</v>
      </c>
      <c r="C140" s="11" t="s">
        <v>4797</v>
      </c>
      <c r="D140" s="11" t="s">
        <v>4798</v>
      </c>
      <c r="E140" s="11" t="s">
        <v>3635</v>
      </c>
      <c r="F140" s="11" t="s">
        <v>4799</v>
      </c>
      <c r="G140" s="12" t="s">
        <v>59</v>
      </c>
      <c r="H140" s="12" t="s">
        <v>59</v>
      </c>
      <c r="I140" s="12" t="s">
        <v>508</v>
      </c>
      <c r="J140" s="11" t="s">
        <v>4800</v>
      </c>
      <c r="K140" s="12" t="s">
        <v>62</v>
      </c>
      <c r="L140" s="12" t="s">
        <v>510</v>
      </c>
    </row>
    <row r="141" spans="1:12" ht="39.6" x14ac:dyDescent="0.3">
      <c r="A141" s="10" t="s">
        <v>4801</v>
      </c>
      <c r="B141" s="11" t="s">
        <v>27</v>
      </c>
      <c r="C141" s="11" t="s">
        <v>4802</v>
      </c>
      <c r="D141" s="11" t="s">
        <v>4803</v>
      </c>
      <c r="E141" s="11" t="s">
        <v>4804</v>
      </c>
      <c r="F141" s="11" t="s">
        <v>4805</v>
      </c>
      <c r="G141" s="12" t="s">
        <v>59</v>
      </c>
      <c r="H141" s="12" t="s">
        <v>59</v>
      </c>
      <c r="I141" s="12" t="s">
        <v>508</v>
      </c>
      <c r="J141" s="11" t="s">
        <v>4806</v>
      </c>
      <c r="K141" s="12" t="s">
        <v>62</v>
      </c>
      <c r="L141" s="12" t="s">
        <v>510</v>
      </c>
    </row>
    <row r="142" spans="1:12" ht="39.6" x14ac:dyDescent="0.3">
      <c r="A142" s="10" t="s">
        <v>4807</v>
      </c>
      <c r="B142" s="11" t="s">
        <v>27</v>
      </c>
      <c r="C142" s="11" t="s">
        <v>4808</v>
      </c>
      <c r="D142" s="11" t="s">
        <v>4809</v>
      </c>
      <c r="E142" s="11" t="s">
        <v>3635</v>
      </c>
      <c r="F142" s="11" t="s">
        <v>4810</v>
      </c>
      <c r="G142" s="12" t="s">
        <v>59</v>
      </c>
      <c r="H142" s="12" t="s">
        <v>59</v>
      </c>
      <c r="I142" s="12" t="s">
        <v>508</v>
      </c>
      <c r="J142" s="11" t="s">
        <v>4811</v>
      </c>
      <c r="K142" s="12" t="s">
        <v>62</v>
      </c>
      <c r="L142" s="12" t="s">
        <v>510</v>
      </c>
    </row>
    <row r="143" spans="1:12" ht="39.6" x14ac:dyDescent="0.3">
      <c r="A143" s="10" t="s">
        <v>4812</v>
      </c>
      <c r="B143" s="11" t="s">
        <v>27</v>
      </c>
      <c r="C143" s="11" t="s">
        <v>4813</v>
      </c>
      <c r="D143" s="11" t="s">
        <v>4814</v>
      </c>
      <c r="E143" s="11" t="s">
        <v>4815</v>
      </c>
      <c r="F143" s="11" t="s">
        <v>4816</v>
      </c>
      <c r="G143" s="12" t="s">
        <v>59</v>
      </c>
      <c r="H143" s="12" t="s">
        <v>59</v>
      </c>
      <c r="I143" s="12" t="s">
        <v>508</v>
      </c>
      <c r="J143" s="11" t="s">
        <v>4817</v>
      </c>
      <c r="K143" s="12" t="s">
        <v>62</v>
      </c>
      <c r="L143" s="12" t="s">
        <v>510</v>
      </c>
    </row>
    <row r="144" spans="1:12" ht="39.6" x14ac:dyDescent="0.3">
      <c r="A144" s="10" t="s">
        <v>4818</v>
      </c>
      <c r="B144" s="11" t="s">
        <v>27</v>
      </c>
      <c r="C144" s="11" t="s">
        <v>4819</v>
      </c>
      <c r="D144" s="11" t="s">
        <v>4820</v>
      </c>
      <c r="E144" s="11" t="s">
        <v>4821</v>
      </c>
      <c r="F144" s="11" t="s">
        <v>4822</v>
      </c>
      <c r="G144" s="12" t="s">
        <v>59</v>
      </c>
      <c r="H144" s="12" t="s">
        <v>59</v>
      </c>
      <c r="I144" s="12" t="s">
        <v>508</v>
      </c>
      <c r="J144" s="11" t="s">
        <v>4823</v>
      </c>
      <c r="K144" s="12" t="s">
        <v>62</v>
      </c>
      <c r="L144" s="12" t="s">
        <v>510</v>
      </c>
    </row>
    <row r="145" spans="1:12" ht="39.6" x14ac:dyDescent="0.3">
      <c r="A145" s="10" t="s">
        <v>4824</v>
      </c>
      <c r="B145" s="11" t="s">
        <v>27</v>
      </c>
      <c r="C145" s="11" t="s">
        <v>4825</v>
      </c>
      <c r="D145" s="11" t="s">
        <v>4826</v>
      </c>
      <c r="E145" s="11" t="s">
        <v>4254</v>
      </c>
      <c r="F145" s="11" t="s">
        <v>4827</v>
      </c>
      <c r="G145" s="12" t="s">
        <v>59</v>
      </c>
      <c r="H145" s="12" t="s">
        <v>59</v>
      </c>
      <c r="I145" s="12" t="s">
        <v>508</v>
      </c>
      <c r="J145" s="11" t="s">
        <v>4828</v>
      </c>
      <c r="K145" s="12" t="s">
        <v>62</v>
      </c>
      <c r="L145" s="12" t="s">
        <v>510</v>
      </c>
    </row>
    <row r="146" spans="1:12" ht="39.6" x14ac:dyDescent="0.3">
      <c r="A146" s="10" t="s">
        <v>4829</v>
      </c>
      <c r="B146" s="11" t="s">
        <v>27</v>
      </c>
      <c r="C146" s="11" t="s">
        <v>4830</v>
      </c>
      <c r="D146" s="11" t="s">
        <v>4831</v>
      </c>
      <c r="E146" s="11" t="s">
        <v>4832</v>
      </c>
      <c r="F146" s="11" t="s">
        <v>4833</v>
      </c>
      <c r="G146" s="12" t="s">
        <v>59</v>
      </c>
      <c r="H146" s="12" t="s">
        <v>59</v>
      </c>
      <c r="I146" s="12" t="s">
        <v>508</v>
      </c>
      <c r="J146" s="11" t="s">
        <v>4834</v>
      </c>
      <c r="K146" s="12" t="s">
        <v>62</v>
      </c>
      <c r="L146" s="12" t="s">
        <v>510</v>
      </c>
    </row>
    <row r="147" spans="1:12" ht="39.6" x14ac:dyDescent="0.3">
      <c r="A147" s="10" t="s">
        <v>4835</v>
      </c>
      <c r="B147" s="11" t="s">
        <v>27</v>
      </c>
      <c r="C147" s="11" t="s">
        <v>4836</v>
      </c>
      <c r="D147" s="11" t="s">
        <v>4837</v>
      </c>
      <c r="E147" s="11" t="s">
        <v>4838</v>
      </c>
      <c r="F147" s="11" t="s">
        <v>4839</v>
      </c>
      <c r="G147" s="12" t="s">
        <v>59</v>
      </c>
      <c r="H147" s="12" t="s">
        <v>59</v>
      </c>
      <c r="I147" s="12" t="s">
        <v>508</v>
      </c>
      <c r="J147" s="11" t="s">
        <v>4840</v>
      </c>
      <c r="K147" s="12" t="s">
        <v>62</v>
      </c>
      <c r="L147" s="12" t="s">
        <v>510</v>
      </c>
    </row>
    <row r="148" spans="1:12" ht="39.6" x14ac:dyDescent="0.3">
      <c r="A148" s="10" t="s">
        <v>4841</v>
      </c>
      <c r="B148" s="11" t="s">
        <v>27</v>
      </c>
      <c r="C148" s="11" t="s">
        <v>4842</v>
      </c>
      <c r="D148" s="11" t="s">
        <v>4843</v>
      </c>
      <c r="E148" s="11" t="s">
        <v>4844</v>
      </c>
      <c r="F148" s="11" t="s">
        <v>4845</v>
      </c>
      <c r="G148" s="12" t="s">
        <v>59</v>
      </c>
      <c r="H148" s="12" t="s">
        <v>59</v>
      </c>
      <c r="I148" s="12" t="s">
        <v>508</v>
      </c>
      <c r="J148" s="11" t="s">
        <v>4846</v>
      </c>
      <c r="K148" s="12" t="s">
        <v>62</v>
      </c>
      <c r="L148" s="12" t="s">
        <v>510</v>
      </c>
    </row>
    <row r="149" spans="1:12" ht="39.6" x14ac:dyDescent="0.3">
      <c r="A149" s="10" t="s">
        <v>4847</v>
      </c>
      <c r="B149" s="11" t="s">
        <v>27</v>
      </c>
      <c r="C149" s="11" t="s">
        <v>4848</v>
      </c>
      <c r="D149" s="11" t="s">
        <v>4849</v>
      </c>
      <c r="E149" s="11" t="s">
        <v>4850</v>
      </c>
      <c r="F149" s="11" t="s">
        <v>4851</v>
      </c>
      <c r="G149" s="12" t="s">
        <v>59</v>
      </c>
      <c r="H149" s="12" t="s">
        <v>59</v>
      </c>
      <c r="I149" s="12" t="s">
        <v>508</v>
      </c>
      <c r="J149" s="11" t="s">
        <v>4852</v>
      </c>
      <c r="K149" s="12" t="s">
        <v>62</v>
      </c>
      <c r="L149" s="12" t="s">
        <v>510</v>
      </c>
    </row>
    <row r="150" spans="1:12" ht="39.6" x14ac:dyDescent="0.3">
      <c r="A150" s="10" t="s">
        <v>4853</v>
      </c>
      <c r="B150" s="11" t="s">
        <v>27</v>
      </c>
      <c r="C150" s="11" t="s">
        <v>4854</v>
      </c>
      <c r="D150" s="11" t="s">
        <v>4855</v>
      </c>
      <c r="E150" s="11" t="s">
        <v>4856</v>
      </c>
      <c r="F150" s="11" t="s">
        <v>4857</v>
      </c>
      <c r="G150" s="12" t="s">
        <v>59</v>
      </c>
      <c r="H150" s="12" t="s">
        <v>59</v>
      </c>
      <c r="I150" s="12" t="s">
        <v>508</v>
      </c>
      <c r="J150" s="11" t="s">
        <v>4858</v>
      </c>
      <c r="K150" s="12" t="s">
        <v>62</v>
      </c>
      <c r="L150" s="12" t="s">
        <v>510</v>
      </c>
    </row>
    <row r="151" spans="1:12" ht="39.6" x14ac:dyDescent="0.3">
      <c r="A151" s="10" t="s">
        <v>4859</v>
      </c>
      <c r="B151" s="11" t="s">
        <v>27</v>
      </c>
      <c r="C151" s="11" t="s">
        <v>4860</v>
      </c>
      <c r="D151" s="11" t="s">
        <v>4861</v>
      </c>
      <c r="E151" s="11" t="s">
        <v>4862</v>
      </c>
      <c r="F151" s="11" t="s">
        <v>4863</v>
      </c>
      <c r="G151" s="12" t="s">
        <v>59</v>
      </c>
      <c r="H151" s="12" t="s">
        <v>59</v>
      </c>
      <c r="I151" s="12" t="s">
        <v>508</v>
      </c>
      <c r="J151" s="11" t="s">
        <v>4864</v>
      </c>
      <c r="K151" s="12" t="s">
        <v>62</v>
      </c>
      <c r="L151" s="12" t="s">
        <v>510</v>
      </c>
    </row>
    <row r="152" spans="1:12" ht="39.6" x14ac:dyDescent="0.3">
      <c r="A152" s="10" t="s">
        <v>4865</v>
      </c>
      <c r="B152" s="11" t="s">
        <v>27</v>
      </c>
      <c r="C152" s="11" t="s">
        <v>4866</v>
      </c>
      <c r="D152" s="11" t="s">
        <v>4867</v>
      </c>
      <c r="E152" s="11" t="s">
        <v>4868</v>
      </c>
      <c r="F152" s="11" t="s">
        <v>4869</v>
      </c>
      <c r="G152" s="12" t="s">
        <v>59</v>
      </c>
      <c r="H152" s="12" t="s">
        <v>59</v>
      </c>
      <c r="I152" s="12" t="s">
        <v>508</v>
      </c>
      <c r="J152" s="11" t="s">
        <v>4870</v>
      </c>
      <c r="K152" s="12" t="s">
        <v>62</v>
      </c>
      <c r="L152" s="12" t="s">
        <v>510</v>
      </c>
    </row>
    <row r="153" spans="1:12" ht="39.6" x14ac:dyDescent="0.3">
      <c r="A153" s="10" t="s">
        <v>4871</v>
      </c>
      <c r="B153" s="11" t="s">
        <v>27</v>
      </c>
      <c r="C153" s="11" t="s">
        <v>4872</v>
      </c>
      <c r="D153" s="11" t="s">
        <v>4873</v>
      </c>
      <c r="E153" s="11" t="s">
        <v>4874</v>
      </c>
      <c r="F153" s="11" t="s">
        <v>4875</v>
      </c>
      <c r="G153" s="12" t="s">
        <v>59</v>
      </c>
      <c r="H153" s="12" t="s">
        <v>59</v>
      </c>
      <c r="I153" s="12" t="s">
        <v>508</v>
      </c>
      <c r="J153" s="11" t="s">
        <v>4876</v>
      </c>
      <c r="K153" s="12" t="s">
        <v>62</v>
      </c>
      <c r="L153" s="12" t="s">
        <v>510</v>
      </c>
    </row>
    <row r="154" spans="1:12" ht="39.6" x14ac:dyDescent="0.3">
      <c r="A154" s="10" t="s">
        <v>4877</v>
      </c>
      <c r="B154" s="11" t="s">
        <v>27</v>
      </c>
      <c r="C154" s="11" t="s">
        <v>4878</v>
      </c>
      <c r="D154" s="11" t="s">
        <v>4879</v>
      </c>
      <c r="E154" s="11" t="s">
        <v>4880</v>
      </c>
      <c r="F154" s="11" t="s">
        <v>4881</v>
      </c>
      <c r="G154" s="12" t="s">
        <v>59</v>
      </c>
      <c r="H154" s="12" t="s">
        <v>59</v>
      </c>
      <c r="I154" s="12" t="s">
        <v>508</v>
      </c>
      <c r="J154" s="11" t="s">
        <v>4882</v>
      </c>
      <c r="K154" s="12" t="s">
        <v>62</v>
      </c>
      <c r="L154" s="12" t="s">
        <v>510</v>
      </c>
    </row>
  </sheetData>
  <autoFilter ref="A4:L154" xr:uid="{00000000-0009-0000-0000-000003000000}"/>
  <mergeCells count="2">
    <mergeCell ref="A2:L2"/>
    <mergeCell ref="A1:L1"/>
  </mergeCells>
  <conditionalFormatting sqref="G5:H154">
    <cfRule type="cellIs" dxfId="1" priority="1" operator="equal">
      <formula>"Fail"</formula>
    </cfRule>
    <cfRule type="cellIs" dxfId="0" priority="2" operator="equal">
      <formula>"Pass"</formula>
    </cfRule>
  </conditionalFormatting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  <pageSetUpPr fitToPage="1"/>
  </sheetPr>
  <dimension ref="A1:G1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46" customWidth="1"/>
    <col min="3" max="3" width="26" customWidth="1"/>
    <col min="4" max="4" width="46" customWidth="1"/>
    <col min="5" max="5" width="50" customWidth="1"/>
    <col min="6" max="6" width="9" customWidth="1"/>
    <col min="7" max="7" width="14" customWidth="1"/>
  </cols>
  <sheetData>
    <row r="1" spans="1:7" ht="18.600000000000001" x14ac:dyDescent="0.3">
      <c r="A1" s="24" t="s">
        <v>4883</v>
      </c>
      <c r="B1" s="21"/>
      <c r="C1" s="21"/>
      <c r="D1" s="21"/>
      <c r="E1" s="21"/>
      <c r="F1" s="21"/>
      <c r="G1" s="21"/>
    </row>
    <row r="2" spans="1:7" ht="30" customHeight="1" x14ac:dyDescent="0.3">
      <c r="A2" s="22" t="s">
        <v>4884</v>
      </c>
      <c r="B2" s="21"/>
      <c r="C2" s="21"/>
      <c r="D2" s="21"/>
      <c r="E2" s="21"/>
      <c r="F2" s="21"/>
      <c r="G2" s="21"/>
    </row>
    <row r="4" spans="1:7" ht="31.95" customHeight="1" x14ac:dyDescent="0.3">
      <c r="A4" s="1" t="s">
        <v>4885</v>
      </c>
      <c r="B4" s="1" t="s">
        <v>4886</v>
      </c>
      <c r="C4" s="1" t="s">
        <v>4887</v>
      </c>
      <c r="D4" s="1" t="s">
        <v>4888</v>
      </c>
      <c r="E4" s="1" t="s">
        <v>4889</v>
      </c>
      <c r="F4" s="1" t="s">
        <v>4890</v>
      </c>
      <c r="G4" s="1" t="s">
        <v>4891</v>
      </c>
    </row>
    <row r="5" spans="1:7" ht="39.6" x14ac:dyDescent="0.3">
      <c r="A5" s="13" t="s">
        <v>4892</v>
      </c>
      <c r="B5" s="11" t="s">
        <v>4893</v>
      </c>
      <c r="C5" s="11" t="s">
        <v>1559</v>
      </c>
      <c r="D5" s="11" t="s">
        <v>4894</v>
      </c>
      <c r="E5" s="11" t="s">
        <v>4895</v>
      </c>
      <c r="F5" s="12" t="s">
        <v>60</v>
      </c>
      <c r="G5" s="14" t="s">
        <v>4896</v>
      </c>
    </row>
    <row r="6" spans="1:7" ht="39.6" x14ac:dyDescent="0.3">
      <c r="A6" s="13" t="s">
        <v>4897</v>
      </c>
      <c r="B6" s="11" t="s">
        <v>4898</v>
      </c>
      <c r="C6" s="11" t="s">
        <v>4899</v>
      </c>
      <c r="D6" s="11" t="s">
        <v>4900</v>
      </c>
      <c r="E6" s="11" t="s">
        <v>4901</v>
      </c>
      <c r="F6" s="12" t="s">
        <v>60</v>
      </c>
      <c r="G6" s="14" t="s">
        <v>4896</v>
      </c>
    </row>
    <row r="7" spans="1:7" ht="39.6" x14ac:dyDescent="0.3">
      <c r="A7" s="13" t="s">
        <v>4902</v>
      </c>
      <c r="B7" s="11" t="s">
        <v>4903</v>
      </c>
      <c r="C7" s="11" t="s">
        <v>4904</v>
      </c>
      <c r="D7" s="11" t="s">
        <v>4905</v>
      </c>
      <c r="E7" s="11" t="s">
        <v>4906</v>
      </c>
      <c r="F7" s="12" t="s">
        <v>60</v>
      </c>
      <c r="G7" s="14" t="s">
        <v>4896</v>
      </c>
    </row>
    <row r="8" spans="1:7" ht="39.6" x14ac:dyDescent="0.3">
      <c r="A8" s="13" t="s">
        <v>4907</v>
      </c>
      <c r="B8" s="11" t="s">
        <v>4908</v>
      </c>
      <c r="C8" s="11" t="s">
        <v>4331</v>
      </c>
      <c r="D8" s="11" t="s">
        <v>4909</v>
      </c>
      <c r="E8" s="11" t="s">
        <v>4910</v>
      </c>
      <c r="F8" s="12" t="s">
        <v>60</v>
      </c>
      <c r="G8" s="14" t="s">
        <v>4896</v>
      </c>
    </row>
    <row r="9" spans="1:7" ht="39.6" x14ac:dyDescent="0.3">
      <c r="A9" s="13" t="s">
        <v>4911</v>
      </c>
      <c r="B9" s="11" t="s">
        <v>4912</v>
      </c>
      <c r="C9" s="11" t="s">
        <v>4913</v>
      </c>
      <c r="D9" s="11" t="s">
        <v>4914</v>
      </c>
      <c r="E9" s="11" t="s">
        <v>4915</v>
      </c>
      <c r="F9" s="12" t="s">
        <v>508</v>
      </c>
      <c r="G9" s="14" t="s">
        <v>4896</v>
      </c>
    </row>
    <row r="10" spans="1:7" ht="39.6" x14ac:dyDescent="0.3">
      <c r="A10" s="13" t="s">
        <v>4916</v>
      </c>
      <c r="B10" s="11" t="s">
        <v>4917</v>
      </c>
      <c r="C10" s="11" t="s">
        <v>3868</v>
      </c>
      <c r="D10" s="11" t="s">
        <v>4918</v>
      </c>
      <c r="E10" s="11" t="s">
        <v>4919</v>
      </c>
      <c r="F10" s="12" t="s">
        <v>508</v>
      </c>
      <c r="G10" s="14" t="s">
        <v>4896</v>
      </c>
    </row>
    <row r="11" spans="1:7" ht="39.6" x14ac:dyDescent="0.3">
      <c r="A11" s="13" t="s">
        <v>4920</v>
      </c>
      <c r="B11" s="11" t="s">
        <v>4921</v>
      </c>
      <c r="C11" s="11" t="s">
        <v>4922</v>
      </c>
      <c r="D11" s="11" t="s">
        <v>4923</v>
      </c>
      <c r="E11" s="11" t="s">
        <v>4924</v>
      </c>
      <c r="F11" s="12" t="s">
        <v>508</v>
      </c>
      <c r="G11" s="14" t="s">
        <v>4896</v>
      </c>
    </row>
    <row r="12" spans="1:7" ht="26.4" x14ac:dyDescent="0.3">
      <c r="A12" s="13" t="s">
        <v>4925</v>
      </c>
      <c r="B12" s="11" t="s">
        <v>4926</v>
      </c>
      <c r="C12" s="11" t="s">
        <v>4927</v>
      </c>
      <c r="D12" s="11" t="s">
        <v>4928</v>
      </c>
      <c r="E12" s="11" t="s">
        <v>4929</v>
      </c>
      <c r="F12" s="12" t="s">
        <v>508</v>
      </c>
      <c r="G12" s="14" t="s">
        <v>4896</v>
      </c>
    </row>
  </sheetData>
  <mergeCells count="2">
    <mergeCell ref="A2:G2"/>
    <mergeCell ref="A1:G1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Tổng hợp</vt:lpstr>
      <vt:lpstr>Unit Test</vt:lpstr>
      <vt:lpstr>Integration Test</vt:lpstr>
      <vt:lpstr>System Test</vt:lpstr>
      <vt:lpstr>Danh sách lỗi</vt:lpstr>
      <vt:lpstr>'Integration Test'!Print_Titles</vt:lpstr>
      <vt:lpstr>'System Test'!Print_Titles</vt:lpstr>
      <vt:lpstr>'Unit Test'!Print_Titles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Quoc Hoan</cp:lastModifiedBy>
  <dcterms:created xsi:type="dcterms:W3CDTF">2026-10-03T18:07:24Z</dcterms:created>
  <dcterms:modified xsi:type="dcterms:W3CDTF">2026-10-03T18:07:53Z</dcterms:modified>
</cp:coreProperties>
</file>